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  <sheet name="Calculadora TCO" sheetId="2" r:id="rId2"/>
  </sheets>
  <calcPr calcId="124519" fullCalcOnLoad="1"/>
</workbook>
</file>

<file path=xl/sharedStrings.xml><?xml version="1.0" encoding="utf-8"?>
<sst xmlns="http://schemas.openxmlformats.org/spreadsheetml/2006/main" count="54" uniqueCount="43">
  <si>
    <t xml:space="preserve"> INVENTARIO DE INFRAESTRUCTURA (CAPEX Y OPEX)</t>
  </si>
  <si>
    <t>Categoría</t>
  </si>
  <si>
    <t>Concepto / Equipo</t>
  </si>
  <si>
    <t>Cant.</t>
  </si>
  <si>
    <t>Coste Adq. Unidad</t>
  </si>
  <si>
    <t>Coste Recurrente Anual</t>
  </si>
  <si>
    <t>Total Adquisición (CAPEX)</t>
  </si>
  <si>
    <t>Total Recurrente (OPEX)</t>
  </si>
  <si>
    <t>Puestos de Trabajo</t>
  </si>
  <si>
    <t>Portátiles empleados</t>
  </si>
  <si>
    <t>Monitores y periféricos</t>
  </si>
  <si>
    <t>Redes y Seguridad</t>
  </si>
  <si>
    <t>Firewall (Hardware + Licencia)</t>
  </si>
  <si>
    <t>Línea de Internet Fibra</t>
  </si>
  <si>
    <t>Servidores / Cloud</t>
  </si>
  <si>
    <t>Instancia AWS o Azure</t>
  </si>
  <si>
    <t>Software General</t>
  </si>
  <si>
    <t>Licencias Microsoft 365</t>
  </si>
  <si>
    <t>CRM / ERP (Suscripción)</t>
  </si>
  <si>
    <t>TOTALES:</t>
  </si>
  <si>
    <t xml:space="preserve"> CALCULADORA TCO GLOBAL</t>
  </si>
  <si>
    <t>Años de proyección (Amortización):</t>
  </si>
  <si>
    <t>COSTES DIRECTOS (PRESUPUESTADOS)</t>
  </si>
  <si>
    <t>Concepto</t>
  </si>
  <si>
    <t>Valor (Unit./Anual)</t>
  </si>
  <si>
    <t>Cantidad / Años</t>
  </si>
  <si>
    <t>Total Proyectado (€)</t>
  </si>
  <si>
    <t>Infraestructura</t>
  </si>
  <si>
    <t>Inversión Inicial (CAPEX Total)</t>
  </si>
  <si>
    <t>Costes Recurrentes (OPEX Total Anual)</t>
  </si>
  <si>
    <t>Formación Admin.</t>
  </si>
  <si>
    <t>Formación (Coste h x Total Horas)</t>
  </si>
  <si>
    <t>Administración</t>
  </si>
  <si>
    <t>Auditorías / Mantenimientos extra (anual)</t>
  </si>
  <si>
    <t>SUBTOTAL DIRECTOS:</t>
  </si>
  <si>
    <t>COSTES INDIRECTOS (OCULTOS)</t>
  </si>
  <si>
    <t>Downtime (Fallos)</t>
  </si>
  <si>
    <t>Pérdida económica por hora inactividad</t>
  </si>
  <si>
    <t>Costes de Usuario</t>
  </si>
  <si>
    <t>Horas perdidas autoaprendizaje / año</t>
  </si>
  <si>
    <t>Soporte entre compañeros (coste / año)</t>
  </si>
  <si>
    <t>SUBTOTAL INDIRECTOS:</t>
  </si>
  <si>
    <t>COSTE TOTAL DE PROPIEDAD (TCO) PROYECTADO</t>
  </si>
</sst>
</file>

<file path=xl/styles.xml><?xml version="1.0" encoding="utf-8"?>
<styleSheet xmlns="http://schemas.openxmlformats.org/spreadsheetml/2006/main">
  <numFmts count="1">
    <numFmt numFmtId="164" formatCode="#,##0 €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3" fillId="0" borderId="0" xfId="0" applyFont="1"/>
    <xf numFmtId="164" fontId="3" fillId="4" borderId="1" xfId="0" applyNumberFormat="1" applyFont="1" applyFill="1" applyBorder="1"/>
    <xf numFmtId="0" fontId="2" fillId="5" borderId="1" xfId="0" applyFont="1" applyFill="1" applyBorder="1"/>
    <xf numFmtId="164" fontId="3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0.7109375" customWidth="1"/>
    <col min="2" max="2" width="35.7109375" customWidth="1"/>
    <col min="3" max="3" width="10.7109375" customWidth="1"/>
    <col min="4" max="7" width="20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 t="s">
        <v>8</v>
      </c>
      <c r="B4" s="3" t="s">
        <v>9</v>
      </c>
      <c r="C4" s="4">
        <v>20</v>
      </c>
      <c r="D4" s="5">
        <v>850</v>
      </c>
      <c r="E4" s="5">
        <v>0</v>
      </c>
      <c r="F4" s="5">
        <f>C4*D4</f>
        <v>0</v>
      </c>
      <c r="G4" s="5">
        <f>C4*E4</f>
        <v>0</v>
      </c>
    </row>
    <row r="5" spans="1:7">
      <c r="A5" s="3" t="s">
        <v>8</v>
      </c>
      <c r="B5" s="3" t="s">
        <v>10</v>
      </c>
      <c r="C5" s="4">
        <v>20</v>
      </c>
      <c r="D5" s="5">
        <v>150</v>
      </c>
      <c r="E5" s="5">
        <v>0</v>
      </c>
      <c r="F5" s="5">
        <f>C5*D5</f>
        <v>0</v>
      </c>
      <c r="G5" s="5">
        <f>C5*E5</f>
        <v>0</v>
      </c>
    </row>
    <row r="6" spans="1:7">
      <c r="A6" s="3" t="s">
        <v>11</v>
      </c>
      <c r="B6" s="3" t="s">
        <v>12</v>
      </c>
      <c r="C6" s="4">
        <v>1</v>
      </c>
      <c r="D6" s="5">
        <v>900</v>
      </c>
      <c r="E6" s="5">
        <v>300</v>
      </c>
      <c r="F6" s="5">
        <f>C6*D6</f>
        <v>0</v>
      </c>
      <c r="G6" s="5">
        <f>C6*E6</f>
        <v>0</v>
      </c>
    </row>
    <row r="7" spans="1:7">
      <c r="A7" s="3" t="s">
        <v>11</v>
      </c>
      <c r="B7" s="3" t="s">
        <v>13</v>
      </c>
      <c r="C7" s="4">
        <v>1</v>
      </c>
      <c r="D7" s="5">
        <v>0</v>
      </c>
      <c r="E7" s="5">
        <v>840</v>
      </c>
      <c r="F7" s="5">
        <f>C7*D7</f>
        <v>0</v>
      </c>
      <c r="G7" s="5">
        <f>C7*E7</f>
        <v>0</v>
      </c>
    </row>
    <row r="8" spans="1:7">
      <c r="A8" s="3" t="s">
        <v>14</v>
      </c>
      <c r="B8" s="3" t="s">
        <v>15</v>
      </c>
      <c r="C8" s="4">
        <v>2</v>
      </c>
      <c r="D8" s="5">
        <v>0</v>
      </c>
      <c r="E8" s="5">
        <v>1200</v>
      </c>
      <c r="F8" s="5">
        <f>C8*D8</f>
        <v>0</v>
      </c>
      <c r="G8" s="5">
        <f>C8*E8</f>
        <v>0</v>
      </c>
    </row>
    <row r="9" spans="1:7">
      <c r="A9" s="3" t="s">
        <v>16</v>
      </c>
      <c r="B9" s="3" t="s">
        <v>17</v>
      </c>
      <c r="C9" s="4">
        <v>20</v>
      </c>
      <c r="D9" s="5">
        <v>0</v>
      </c>
      <c r="E9" s="5">
        <v>144</v>
      </c>
      <c r="F9" s="5">
        <f>C9*D9</f>
        <v>0</v>
      </c>
      <c r="G9" s="5">
        <f>C9*E9</f>
        <v>0</v>
      </c>
    </row>
    <row r="10" spans="1:7">
      <c r="A10" s="3" t="s">
        <v>16</v>
      </c>
      <c r="B10" s="3" t="s">
        <v>18</v>
      </c>
      <c r="C10" s="4">
        <v>15</v>
      </c>
      <c r="D10" s="5">
        <v>0</v>
      </c>
      <c r="E10" s="5">
        <v>600</v>
      </c>
      <c r="F10" s="5">
        <f>C10*D10</f>
        <v>0</v>
      </c>
      <c r="G10" s="5">
        <f>C10*E10</f>
        <v>0</v>
      </c>
    </row>
    <row r="11" spans="1:7">
      <c r="E11" s="6" t="s">
        <v>19</v>
      </c>
      <c r="F11" s="7">
        <f>SUM(F4:F10)</f>
        <v>0</v>
      </c>
      <c r="G11" s="7">
        <f>SUM(G4:G10)</f>
        <v>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5.7109375" customWidth="1"/>
    <col min="2" max="2" width="40.7109375" customWidth="1"/>
    <col min="3" max="4" width="20.7109375" customWidth="1"/>
    <col min="5" max="5" width="25.7109375" customWidth="1"/>
  </cols>
  <sheetData>
    <row r="1" spans="1:5">
      <c r="A1" s="1" t="s">
        <v>20</v>
      </c>
      <c r="B1" s="1"/>
      <c r="C1" s="1"/>
      <c r="D1" s="1"/>
      <c r="E1" s="1"/>
    </row>
    <row r="3" spans="1:5">
      <c r="A3" s="6" t="s">
        <v>21</v>
      </c>
      <c r="B3" s="4">
        <v>5</v>
      </c>
    </row>
    <row r="5" spans="1:5">
      <c r="A5" s="6" t="s">
        <v>22</v>
      </c>
    </row>
    <row r="6" spans="1:5">
      <c r="A6" s="8" t="s">
        <v>1</v>
      </c>
      <c r="B6" s="8" t="s">
        <v>23</v>
      </c>
      <c r="C6" s="8" t="s">
        <v>24</v>
      </c>
      <c r="D6" s="8" t="s">
        <v>25</v>
      </c>
      <c r="E6" s="8" t="s">
        <v>26</v>
      </c>
    </row>
    <row r="7" spans="1:5">
      <c r="A7" s="3" t="s">
        <v>27</v>
      </c>
      <c r="B7" s="3" t="s">
        <v>28</v>
      </c>
      <c r="C7" s="5">
        <f>Inventario!F11</f>
        <v>0</v>
      </c>
      <c r="D7" s="4">
        <v>1</v>
      </c>
      <c r="E7" s="5">
        <f>C7*D7</f>
        <v>0</v>
      </c>
    </row>
    <row r="8" spans="1:5">
      <c r="A8" s="3" t="s">
        <v>27</v>
      </c>
      <c r="B8" s="3" t="s">
        <v>29</v>
      </c>
      <c r="C8" s="5">
        <f>Inventario!G11</f>
        <v>0</v>
      </c>
      <c r="D8" s="4">
        <f>B3</f>
        <v>0</v>
      </c>
      <c r="E8" s="5">
        <f>C8*D8</f>
        <v>0</v>
      </c>
    </row>
    <row r="9" spans="1:5">
      <c r="A9" s="3" t="s">
        <v>30</v>
      </c>
      <c r="B9" s="3" t="s">
        <v>31</v>
      </c>
      <c r="C9" s="5">
        <v>50</v>
      </c>
      <c r="D9" s="4">
        <f>40*2</f>
        <v>0</v>
      </c>
      <c r="E9" s="5">
        <f>C9*D9</f>
        <v>0</v>
      </c>
    </row>
    <row r="10" spans="1:5">
      <c r="A10" s="3" t="s">
        <v>32</v>
      </c>
      <c r="B10" s="3" t="s">
        <v>33</v>
      </c>
      <c r="C10" s="5">
        <v>0</v>
      </c>
      <c r="D10" s="4">
        <f>B3</f>
        <v>0</v>
      </c>
      <c r="E10" s="5">
        <f>C10*D10</f>
        <v>0</v>
      </c>
    </row>
    <row r="11" spans="1:5">
      <c r="D11" s="6" t="s">
        <v>34</v>
      </c>
      <c r="E11" s="7">
        <f>SUM(E7:E10)</f>
        <v>0</v>
      </c>
    </row>
    <row r="13" spans="1:5">
      <c r="A13" s="6" t="s">
        <v>35</v>
      </c>
    </row>
    <row r="14" spans="1:5">
      <c r="A14" s="8" t="s">
        <v>1</v>
      </c>
      <c r="B14" s="8" t="s">
        <v>23</v>
      </c>
      <c r="C14" s="8" t="s">
        <v>24</v>
      </c>
      <c r="D14" s="8" t="s">
        <v>25</v>
      </c>
      <c r="E14" s="8" t="s">
        <v>26</v>
      </c>
    </row>
    <row r="15" spans="1:5">
      <c r="A15" s="3" t="s">
        <v>36</v>
      </c>
      <c r="B15" s="3" t="s">
        <v>37</v>
      </c>
      <c r="C15" s="5">
        <v>150</v>
      </c>
      <c r="D15" s="4">
        <f>24*4*B3</f>
        <v>0</v>
      </c>
      <c r="E15" s="5">
        <f>C15*D15</f>
        <v>0</v>
      </c>
    </row>
    <row r="16" spans="1:5">
      <c r="A16" s="3" t="s">
        <v>38</v>
      </c>
      <c r="B16" s="3" t="s">
        <v>39</v>
      </c>
      <c r="C16" s="5">
        <v>0</v>
      </c>
      <c r="D16" s="4">
        <f>B3</f>
        <v>0</v>
      </c>
      <c r="E16" s="5">
        <f>C16*D16</f>
        <v>0</v>
      </c>
    </row>
    <row r="17" spans="1:5">
      <c r="A17" s="3" t="s">
        <v>38</v>
      </c>
      <c r="B17" s="3" t="s">
        <v>40</v>
      </c>
      <c r="C17" s="5">
        <v>0</v>
      </c>
      <c r="D17" s="4">
        <f>B3</f>
        <v>0</v>
      </c>
      <c r="E17" s="5">
        <f>C17*D17</f>
        <v>0</v>
      </c>
    </row>
    <row r="18" spans="1:5">
      <c r="D18" s="6" t="s">
        <v>41</v>
      </c>
      <c r="E18" s="7">
        <f>SUM(E15:E17)</f>
        <v>0</v>
      </c>
    </row>
    <row r="20" spans="1:5">
      <c r="A20" s="1" t="s">
        <v>42</v>
      </c>
      <c r="B20" s="1"/>
      <c r="C20" s="1"/>
      <c r="D20" s="1"/>
      <c r="E20" s="9">
        <f>E11+E18</f>
        <v>0</v>
      </c>
    </row>
  </sheetData>
  <mergeCells count="2">
    <mergeCell ref="A1:E1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Calculadora TCO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2026-02-19T18:37:58Z</dcterms:created>
  <dcterms:modified xsi:type="dcterms:W3CDTF">2026-02-19T18:37:58Z</dcterms:modified>
</cp:coreProperties>
</file>