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06f3eedc7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 TCO" sheetId="1" r:id="R07c9d85cb2af422a"/>
    <x:sheet xmlns:r="http://schemas.openxmlformats.org/officeDocument/2006/relationships" name="Dashboard" sheetId="2" r:id="R1d1cc595c80f403b"/>
    <x:sheet xmlns:r="http://schemas.openxmlformats.org/officeDocument/2006/relationships" name="ROI" sheetId="3" r:id="Rdfbcb1084ad1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,##0;[Red](#,##0);&quot;-&quot;"/>
    <x:numFmt numFmtId="165" formatCode="#,##0&quot; €&quot;;[Red](#,##0&quot; €&quot;);&quot;-&quot;"/>
    <x:numFmt numFmtId="166" formatCode="0.0%"/>
    <x:numFmt numFmtId="167" formatCode="0.0"/>
  </x:numFmts>
  <x:fonts count="10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sz val="12"/>
      <x:color rgb="001F4E79"/>
    </x:font>
    <x:font>
      <x:color rgb="000000FF"/>
    </x:font>
    <x:font>
      <x:b/>
      <x:color rgb="00404040"/>
    </x:font>
    <x:font>
      <x:i/>
      <x:color rgb="007F7F7F"/>
    </x:font>
    <x:font>
      <x:color rgb="00000000"/>
    </x:font>
    <x:font>
      <x:b/>
      <x:color rgb="00000000"/>
    </x:font>
    <x:font>
      <x:b/>
      <x:sz val="14"/>
    </x:font>
    <x:font>
      <x:color rgb="000080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FFF2CC"/>
      </x:patternFill>
    </x:fill>
  </x:fills>
  <x:borders count="7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  <x:border>
      <x:left style="thin">
        <x:color rgb="00A6A6A6"/>
      </x:left>
      <x:right style="thin">
        <x:color rgb="00A6A6A6"/>
      </x:right>
      <x:top style="medium">
        <x:color rgb="00404040"/>
      </x:top>
      <x:bottom style="medium">
        <x:color rgb="00404040"/>
      </x:bottom>
    </x:border>
    <x:border>
      <x:left/>
      <x:right/>
      <x:top style="medium">
        <x:color rgb="00404040"/>
      </x:top>
      <x:bottom/>
      <x:diagonal/>
    </x:border>
    <x:border>
      <x:left/>
      <x:right style="thin">
        <x:color rgb="00A6A6A6"/>
      </x:right>
      <x:top style="medium">
        <x:color rgb="00404040"/>
      </x:top>
      <x:bottom/>
      <x:diagonal/>
    </x:border>
    <x:border>
      <x:left/>
      <x:right/>
      <x:top style="medium">
        <x:color rgb="00404040"/>
      </x:top>
      <x:bottom style="medium">
        <x:color rgb="00404040"/>
      </x:bottom>
      <x:diagonal/>
    </x:border>
    <x:border>
      <x:left/>
      <x:right style="thin">
        <x:color rgb="00A6A6A6"/>
      </x:right>
      <x:top style="medium">
        <x:color rgb="00404040"/>
      </x:top>
      <x:bottom style="medium">
        <x:color rgb="00404040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164" fontId="3" fillId="0" borderId="0" xfId="0" applyAlignment="1">
      <x:alignment horizontal="right" vertical="center" wrapText="1"/>
    </x:xf>
    <x:xf numFmtId="0" fontId="4" fillId="4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165" fontId="3" fillId="0" borderId="1" xfId="0" applyAlignment="1">
      <x:alignment horizontal="right" vertical="center" wrapText="1"/>
    </x:xf>
    <x:xf numFmtId="164" fontId="3" fillId="0" borderId="1" xfId="0" applyAlignment="1">
      <x:alignment horizontal="right" vertical="center" wrapText="1"/>
    </x:xf>
    <x:xf numFmtId="0" fontId="5" fillId="0" borderId="1" xfId="0" applyAlignment="1">
      <x:alignment horizontal="center" vertical="center" wrapText="1"/>
    </x:xf>
    <x:xf numFmtId="165" fontId="6" fillId="0" borderId="1" xfId="0" applyAlignment="1">
      <x:alignment horizontal="right" vertical="center" wrapText="1"/>
    </x:xf>
    <x:xf numFmtId="0" fontId="7" fillId="5" borderId="2" xfId="0" applyAlignment="1">
      <x:alignment horizontal="right" vertical="center" wrapText="1"/>
    </x:xf>
    <x:xf numFmtId="0" fontId="0" fillId="0" borderId="2" xfId="0"/>
    <x:xf numFmtId="165" fontId="7" fillId="5" borderId="2" xfId="0" applyAlignment="1">
      <x:alignment horizontal="right" vertical="center" wrapText="1"/>
    </x:xf>
    <x:xf numFmtId="0" fontId="7" fillId="0" borderId="0" xfId="0" applyAlignment="1">
      <x:alignment horizontal="right" vertical="center" wrapText="1"/>
    </x:xf>
    <x:xf numFmtId="0" fontId="5" fillId="0" borderId="0" xfId="0" applyAlignment="1">
      <x:alignment horizontal="left" vertical="center" wrapText="1"/>
    </x:xf>
    <x:xf numFmtId="165" fontId="8" fillId="0" borderId="0" xfId="0" applyAlignment="1">
      <x:alignment horizontal="right" vertical="center" wrapText="1"/>
    </x:xf>
    <x:xf numFmtId="165" fontId="0" fillId="0" borderId="0" xfId="0" applyAlignment="1">
      <x:alignment horizontal="right" vertical="center" wrapText="1"/>
    </x:xf>
    <x:xf numFmtId="166" fontId="0" fillId="0" borderId="0" xfId="0" applyAlignment="1">
      <x:alignment horizontal="right" vertical="center" wrapText="1"/>
    </x:xf>
    <x:xf numFmtId="0" fontId="4" fillId="0" borderId="0" xfId="0"/>
    <x:xf numFmtId="164" fontId="9" fillId="0" borderId="0" xfId="0"/>
    <x:xf numFmtId="165" fontId="9" fillId="0" borderId="0" xfId="0"/>
    <x:xf numFmtId="165" fontId="0" fillId="0" borderId="0" xfId="0"/>
    <x:xf numFmtId="0" fontId="5" fillId="0" borderId="0" xfId="0"/>
    <x:xf numFmtId="165" fontId="3" fillId="0" borderId="0" xfId="0"/>
    <x:xf numFmtId="166" fontId="3" fillId="0" borderId="0" xfId="0"/>
    <x:xf numFmtId="166" fontId="0" fillId="0" borderId="0" xfId="0"/>
    <x:xf numFmtId="167" fontId="0" fillId="0" borderId="0" xfId="0"/>
    <x:xf numFmtId="0" fontId="0" fillId="0" borderId="1" xfId="0" applyAlignment="1">
      <x:alignment horizontal="center" vertical="center" wrapText="1"/>
    </x:xf>
    <x:xf numFmtId="165" fontId="0" fillId="0" borderId="1" xfId="0" applyAlignment="1">
      <x:alignment horizontal="right" vertical="center" wrapText="1"/>
    </x:xf>
    <x:xf numFmtId="0" fontId="0" fillId="0" borderId="5" xfId="0"/>
    <x:xf numFmtId="0" fontId="0" fillId="0" borderId="6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83e95050b414f" /><Relationship Type="http://schemas.openxmlformats.org/officeDocument/2006/relationships/theme" Target="/xl/theme/theme1.xml" Id="Re86fb16a884f4b85" /><Relationship Type="http://schemas.openxmlformats.org/officeDocument/2006/relationships/sharedStrings" Target="/xl/sharedStrings.xml" Id="R78f973e0dbc24b71" /><Relationship Type="http://schemas.openxmlformats.org/officeDocument/2006/relationships/worksheet" Target="/xl/worksheets/sheet1.xml" Id="R07c9d85cb2af422a" /><Relationship Type="http://schemas.openxmlformats.org/officeDocument/2006/relationships/worksheet" Target="/xl/worksheets/sheet2.xml" Id="R1d1cc595c80f403b" /><Relationship Type="http://schemas.openxmlformats.org/officeDocument/2006/relationships/worksheet" Target="/xl/worksheets/sheet3.xml" Id="Rdfbcb1084ad14e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7a1aa3b7494f4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Iceberg TCO: directos vs indirectos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stacked"/>
        <c:gapWidth val="150"/>
        <c:ser>
          <c:idx val="0"/>
          <c:order val="0"/>
          <c:tx>
            <c:v>Directos</c:v>
          </c:tx>
          <c:spPr>
            <a:ln xmlns:a="http://schemas.openxmlformats.org/drawingml/2006/main"/>
          </c:spPr>
          <c:cat>
            <c:strRef>
              <c:f>'Dashboard'!$D$4</c:f>
              <c:strCache>
                <c:ptCount val="0"/>
              </c:strCache>
            </c:strRef>
          </c:cat>
          <c:val>
            <c:numRef>
              <c:f>'Dashboard'!$E$4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Indirectos</c:v>
          </c:tx>
          <c:spPr>
            <a:ln xmlns:a="http://schemas.openxmlformats.org/drawingml/2006/main"/>
          </c:spPr>
          <c:cat>
            <c:strRef>
              <c:f>'Dashboard'!$D$4</c:f>
              <c:strCache>
                <c:ptCount val="0"/>
              </c:strCache>
            </c:strRef>
          </c:cat>
          <c:val>
            <c:numRef>
              <c:f>'Dashboard'!$F$4</c:f>
              <c:numCache>
                <c:formatCode/>
                <c:ptCount val="0"/>
              </c:numCache>
            </c:numRef>
          </c:val>
        </c:ser>
        <c:dLbls>
          <c:showLegendKey val="0"/>
          <c:showVal val="1"/>
          <c:showSerName val="0"/>
          <c:showCatName val="0"/>
          <c:showPercent val="0"/>
          <c:showBubbleSize val="0"/>
          <c: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a1aa3b7494f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42d9ad216c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44" customWidth="1"/>
    <x:col min="3" max="3" width="18" customWidth="1"/>
    <x:col min="4" max="4" width="26" customWidth="1"/>
    <x:col min="5" max="5" width="22" customWidth="1"/>
    <x:col min="6" max="6" width="18" customWidth="1"/>
  </x:cols>
  <x:sheetData>
    <x:row r="1" ht="28" customHeight="1">
      <x:c r="A1" s="1" t="inlineStr">
        <x:is>
          <x:t xml:space="preserve">Modelo de Coste Total de Propiedad (TCO)</x:t>
        </x:is>
      </x:c>
    </x:row>
    <x:row r="3" ht="20" customHeight="1">
      <x:c r="A3" s="2" t="inlineStr">
        <x:is>
          <x:t xml:space="preserve">1) Parámetros base (variables generales)</x:t>
        </x:is>
      </x:c>
    </x:row>
    <x:row r="4">
      <x:c r="A4" s="3" t="inlineStr">
        <x:is>
          <x:t xml:space="preserve">Años de proyección (amortización)</x:t>
        </x:is>
      </x:c>
      <x:c r="B4" s="4" t="n">
        <x:v>5</x:v>
      </x:c>
    </x:row>
    <x:row r="6" ht="20" customHeight="1">
      <x:c r="A6" s="2" t="inlineStr">
        <x:is>
          <x:t xml:space="preserve">2) Costes directos (presupuestados)</x:t>
        </x:is>
      </x:c>
    </x:row>
    <x:row r="7" ht="30" customHeight="1">
      <x:c r="A7" s="5" t="inlineStr">
        <x:is>
          <x:t xml:space="preserve">Categoría</x:t>
        </x:is>
      </x:c>
      <x:c r="B7" s="5" t="inlineStr">
        <x:is>
          <x:t xml:space="preserve">Concepto / Variable</x:t>
        </x:is>
      </x:c>
      <x:c r="C7" s="5" t="inlineStr">
        <x:is>
          <x:t xml:space="preserve">Valor unitario o anual</x:t>
        </x:is>
      </x:c>
      <x:c r="D7" s="5" t="inlineStr">
        <x:is>
          <x:t xml:space="preserve">Cantidad / Frecuencia</x:t>
        </x:is>
      </x:c>
      <x:c r="E7" s="5" t="inlineStr">
        <x:is>
          <x:t xml:space="preserve">Fórmula (referencia)</x:t>
        </x:is>
      </x:c>
      <x:c r="F7" s="5" t="inlineStr">
        <x:is>
          <x:t xml:space="preserve">Total TCO (€)</x:t>
        </x:is>
      </x:c>
    </x:row>
    <x:row r="8">
      <x:c r="A8" s="6" t="inlineStr">
        <x:is>
          <x:t xml:space="preserve">Hardware y Software</x:t>
        </x:is>
      </x:c>
      <x:c r="B8" s="6" t="inlineStr">
        <x:is>
          <x:t xml:space="preserve">Coste de licencia / adquisición</x:t>
        </x:is>
      </x:c>
      <x:c r="C8" s="7" t="n">
        <x:v>1200</x:v>
      </x:c>
      <x:c r="D8" s="8" t="n">
        <x:v>1</x:v>
      </x:c>
      <x:c r="E8" s="9">
        <x:f>C8*D8</x:f>
        <x:v>1200</x:v>
      </x:c>
      <x:c r="F8" s="10">
        <x:f>C8*D8</x:f>
        <x:v>1200</x:v>
      </x:c>
    </x:row>
    <x:row r="9">
      <x:c r="A9" s="6" t="inlineStr">
        <x:is>
          <x:t xml:space="preserve">Hardware y Software</x:t>
        </x:is>
      </x:c>
      <x:c r="B9" s="6" t="inlineStr">
        <x:is>
          <x:t xml:space="preserve">Actualizaciones / reparaciones (anual)</x:t>
        </x:is>
      </x:c>
      <x:c r="C9" s="7" t="n">
        <x:v>0</x:v>
      </x:c>
      <x:c r="D9" s="8">
        <x:f>$B$4</x:f>
        <x:v>5</x:v>
      </x:c>
      <x:c r="E9" s="9">
        <x:f>C9*D9</x:f>
        <x:v>0</x:v>
      </x:c>
      <x:c r="F9" s="10">
        <x:f>C9*D9</x:f>
        <x:v>0</x:v>
      </x:c>
    </x:row>
    <x:row r="10">
      <x:c r="A10" s="6" t="inlineStr">
        <x:is>
          <x:t xml:space="preserve">Operaciones y Soporte</x:t>
        </x:is>
      </x:c>
      <x:c r="B10" s="6" t="inlineStr">
        <x:is>
          <x:t xml:space="preserve">Cuota de soporte (anual)</x:t>
        </x:is>
      </x:c>
      <x:c r="C10" s="7" t="n">
        <x:v>500</x:v>
      </x:c>
      <x:c r="D10" s="8">
        <x:f>$B$4</x:f>
        <x:v>5</x:v>
      </x:c>
      <x:c r="E10" s="9">
        <x:f>C10*D10</x:f>
        <x:v>2500</x:v>
      </x:c>
      <x:c r="F10" s="10">
        <x:f>C10*D10</x:f>
        <x:v>2500</x:v>
      </x:c>
    </x:row>
    <x:row r="11">
      <x:c r="A11" s="6" t="inlineStr">
        <x:is>
          <x:t xml:space="preserve">Formación Admin.</x:t>
        </x:is>
      </x:c>
      <x:c r="B11" s="6" t="inlineStr">
        <x:is>
          <x:t xml:space="preserve">Coste por hora del trabajador</x:t>
        </x:is>
      </x:c>
      <x:c r="C11" s="7" t="n">
        <x:v>50</x:v>
      </x:c>
      <x:c r="D11" s="8">
        <x:f>40*2</x:f>
        <x:v>80</x:v>
      </x:c>
      <x:c r="E11" s="9">
        <x:f>C11*D11</x:f>
        <x:v>4000</x:v>
      </x:c>
      <x:c r="F11" s="10">
        <x:f>C11*D11</x:f>
        <x:v>4000</x:v>
      </x:c>
    </x:row>
    <x:row r="12">
      <x:c r="A12" s="6" t="inlineStr">
        <x:is>
          <x:t xml:space="preserve">Administración</x:t>
        </x:is>
      </x:c>
      <x:c r="B12" s="6" t="inlineStr">
        <x:is>
          <x:t xml:space="preserve">Auditorías / presupuestos (anual)</x:t>
        </x:is>
      </x:c>
      <x:c r="C12" s="7" t="n">
        <x:v>0</x:v>
      </x:c>
      <x:c r="D12" s="8">
        <x:f>$B$4</x:f>
        <x:v>5</x:v>
      </x:c>
      <x:c r="E12" s="9">
        <x:f>C12*D12</x:f>
        <x:v>0</x:v>
      </x:c>
      <x:c r="F12" s="10">
        <x:f>C12*D12</x:f>
        <x:v>0</x:v>
      </x:c>
    </x:row>
    <x:row r="13">
      <x:c r="A13" s="11" t="inlineStr">
        <x:is>
          <x:t xml:space="preserve">SUBTOTAL COSTES DIRECTOS</x:t>
        </x:is>
      </x:c>
      <x:c r="B13" s="30" t="n"/>
      <x:c r="C13" s="30" t="n"/>
      <x:c r="D13" s="30" t="n"/>
      <x:c r="E13" s="31" t="n"/>
      <x:c r="F13" s="13">
        <x:f>SUM(F8:F12)</x:f>
        <x:v>7700</x:v>
      </x:c>
    </x:row>
    <x:row r="16" ht="20" customHeight="1">
      <x:c r="A16" s="2" t="inlineStr">
        <x:is>
          <x:t xml:space="preserve">3) Costes indirectos (ocultos)</x:t>
        </x:is>
      </x:c>
    </x:row>
    <x:row r="17" ht="30" customHeight="1">
      <x:c r="A17" s="5" t="inlineStr">
        <x:is>
          <x:t xml:space="preserve">Categoría</x:t>
        </x:is>
      </x:c>
      <x:c r="B17" s="5" t="inlineStr">
        <x:is>
          <x:t xml:space="preserve">Concepto / Variable</x:t>
        </x:is>
      </x:c>
      <x:c r="C17" s="5" t="inlineStr">
        <x:is>
          <x:t xml:space="preserve">Valor unitario o anual</x:t>
        </x:is>
      </x:c>
      <x:c r="D17" s="5" t="inlineStr">
        <x:is>
          <x:t xml:space="preserve">Cantidad / Frecuencia</x:t>
        </x:is>
      </x:c>
      <x:c r="E17" s="5" t="inlineStr">
        <x:is>
          <x:t xml:space="preserve">Fórmula (referencia)</x:t>
        </x:is>
      </x:c>
      <x:c r="F17" s="5" t="inlineStr">
        <x:is>
          <x:t xml:space="preserve">Total TCO (€)</x:t>
        </x:is>
      </x:c>
    </x:row>
    <x:row r="18">
      <x:c r="A18" s="6" t="inlineStr">
        <x:is>
          <x:t xml:space="preserve">Downtime (fallos)</x:t>
        </x:is>
      </x:c>
      <x:c r="B18" s="6" t="inlineStr">
        <x:is>
          <x:t xml:space="preserve">Pérdida económica por hora de inactividad</x:t>
        </x:is>
      </x:c>
      <x:c r="C18" s="7" t="n">
        <x:v>150</x:v>
      </x:c>
      <x:c r="D18" s="8">
        <x:f>24*4*$B$4</x:f>
        <x:v>480</x:v>
      </x:c>
      <x:c r="E18" s="9">
        <x:f>C18*D18</x:f>
        <x:v>72000</x:v>
      </x:c>
      <x:c r="F18" s="10">
        <x:f>C18*D18</x:f>
        <x:v>72000</x:v>
      </x:c>
    </x:row>
    <x:row r="19">
      <x:c r="A19" s="6" t="inlineStr">
        <x:is>
          <x:t xml:space="preserve">Costes de usuario</x:t>
        </x:is>
      </x:c>
      <x:c r="B19" s="6" t="inlineStr">
        <x:is>
          <x:t xml:space="preserve">Horas perdidas en autoaprendizaje (€/año)</x:t>
        </x:is>
      </x:c>
      <x:c r="C19" s="7" t="n">
        <x:v>0</x:v>
      </x:c>
      <x:c r="D19" s="8">
        <x:f>$B$4</x:f>
        <x:v>5</x:v>
      </x:c>
      <x:c r="E19" s="9">
        <x:f>C19*D19</x:f>
        <x:v>0</x:v>
      </x:c>
      <x:c r="F19" s="10">
        <x:f>C19*D19</x:f>
        <x:v>0</x:v>
      </x:c>
    </x:row>
    <x:row r="20">
      <x:c r="A20" s="6" t="inlineStr">
        <x:is>
          <x:t xml:space="preserve">Costes de usuario</x:t>
        </x:is>
      </x:c>
      <x:c r="B20" s="6" t="inlineStr">
        <x:is>
          <x:t xml:space="preserve">Soporte entre compañeros (€/año)</x:t>
        </x:is>
      </x:c>
      <x:c r="C20" s="7" t="n">
        <x:v>0</x:v>
      </x:c>
      <x:c r="D20" s="8">
        <x:f>$B$4</x:f>
        <x:v>5</x:v>
      </x:c>
      <x:c r="E20" s="9">
        <x:f>C20*D20</x:f>
        <x:v>0</x:v>
      </x:c>
      <x:c r="F20" s="10">
        <x:f>C20*D20</x:f>
        <x:v>0</x:v>
      </x:c>
    </x:row>
    <x:row r="21">
      <x:c r="A21" s="11" t="inlineStr">
        <x:is>
          <x:t xml:space="preserve">SUBTOTAL COSTES INDIRECTOS</x:t>
        </x:is>
      </x:c>
      <x:c r="B21" s="30" t="n"/>
      <x:c r="C21" s="30" t="n"/>
      <x:c r="D21" s="30" t="n"/>
      <x:c r="E21" s="31" t="n"/>
      <x:c r="F21" s="13">
        <x:f>SUM(F18:F20)</x:f>
        <x:v>72000</x:v>
      </x:c>
    </x:row>
    <x:row r="24" ht="20" customHeight="1">
      <x:c r="A24" s="2" t="inlineStr">
        <x:is>
          <x:t xml:space="preserve">4) Resumen (TCO total)</x:t>
        </x:is>
      </x:c>
    </x:row>
    <x:row r="25">
      <x:c r="A25" s="14" t="inlineStr">
        <x:is>
          <x:t xml:space="preserve">COSTE TOTAL DE PROPIEDAD (TCO)</x:t>
        </x:is>
      </x:c>
      <x:c r="E25" s="15" t="str">
        <x:f>$B$4 &amp; " años"</x:f>
        <x:v>5 años</x:v>
      </x:c>
      <x:c r="F25" s="16">
        <x:f>F13+F21</x:f>
        <x:v>79700</x:v>
      </x:c>
    </x:row>
    <x:row r="26">
      <x:c r="A26" t="inlineStr">
        <x:is>
          <x:t xml:space="preserve">Coste medio anual</x:t>
        </x:is>
      </x:c>
      <x:c r="F26" s="17">
        <x:f>IF($B$4&gt;0,F25/$B$4,0)</x:f>
        <x:v>15940</x:v>
      </x:c>
    </x:row>
    <x:row r="27">
      <x:c r="A27" t="inlineStr">
        <x:is>
          <x:t xml:space="preserve">% Directos (sobre TCO)</x:t>
        </x:is>
      </x:c>
      <x:c r="F27" s="18">
        <x:f>IF(F25&gt;0,F13/F25,0)</x:f>
        <x:v>0.09661229611041405</x:v>
      </x:c>
    </x:row>
    <x:row r="28">
      <x:c r="A28" t="inlineStr">
        <x:is>
          <x:t xml:space="preserve">% Indirectos (sobre TCO)</x:t>
        </x:is>
      </x:c>
      <x:c r="F28" s="18">
        <x:f>IF(F25&gt;0,F21/F25,0)</x:f>
        <x:v>0.903387703889586</x:v>
      </x:c>
    </x:row>
    <x:row r="30">
      <x:c r="A30" s="15" t="inlineStr">
        <x:is>
          <x:t xml:space="preserve">Tip: cambia los años en B4 y el modelo actualizará automáticamente las partidas anuales y el downtime.</x:t>
        </x:is>
      </x:c>
    </x:row>
  </x:sheetData>
  <x:mergeCells>
    <x:mergeCell ref="A21:E21"/>
    <x:mergeCell ref="A16:F16"/>
    <x:mergeCell ref="A24:F24"/>
    <x:mergeCell ref="A1:F1"/>
    <x:mergeCell ref="A6:F6"/>
    <x:mergeCell ref="A25:D25"/>
    <x:mergeCell ref="A13:E13"/>
    <x:mergeCell ref="A3:F3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 ht="28" customHeight="1">
      <x:c r="A1" s="1" t="inlineStr">
        <x:is>
          <x:t xml:space="preserve">Dashboard TCO (iceberg)</x:t>
        </x:is>
      </x:c>
    </x:row>
    <x:row r="3">
      <x:c r="A3" s="19" t="inlineStr">
        <x:is>
          <x:t xml:space="preserve">Años</x:t>
        </x:is>
      </x:c>
      <x:c r="B3" s="20">
        <x:f> 'Modelo TCO'!$B$4</x:f>
        <x:v>5</x:v>
      </x:c>
      <x:c r="D3" s="19" t="inlineStr">
        <x:is>
          <x:t xml:space="preserve"/>
        </x:is>
      </x:c>
      <x:c r="E3" t="inlineStr">
        <x:is>
          <x:t xml:space="preserve">Directos</x:t>
        </x:is>
      </x:c>
      <x:c r="F3" t="inlineStr">
        <x:is>
          <x:t xml:space="preserve">Indirectos</x:t>
        </x:is>
      </x:c>
    </x:row>
    <x:row r="4">
      <x:c r="A4" s="19" t="inlineStr">
        <x:is>
          <x:t xml:space="preserve">Costes directos</x:t>
        </x:is>
      </x:c>
      <x:c r="B4" s="21">
        <x:f> 'Modelo TCO'!F13</x:f>
        <x:v>7700</x:v>
      </x:c>
      <x:c r="D4" t="inlineStr">
        <x:is>
          <x:t xml:space="preserve">TCO</x:t>
        </x:is>
      </x:c>
      <x:c r="E4" s="22">
        <x:f>B4</x:f>
        <x:v>7700</x:v>
      </x:c>
      <x:c r="F4" s="22">
        <x:f>B5</x:f>
        <x:v>72000</x:v>
      </x:c>
    </x:row>
    <x:row r="5">
      <x:c r="A5" s="19" t="inlineStr">
        <x:is>
          <x:t xml:space="preserve">Costes indirectos</x:t>
        </x:is>
      </x:c>
      <x:c r="B5" s="21">
        <x:f> 'Modelo TCO'!F21</x:f>
        <x:v>72000</x:v>
      </x:c>
      <x:c r="E5" s="22" t="n"/>
    </x:row>
    <x:row r="6">
      <x:c r="A6" s="19" t="inlineStr">
        <x:is>
          <x:t xml:space="preserve">TCO total</x:t>
        </x:is>
      </x:c>
      <x:c r="B6" s="21">
        <x:f> 'Modelo TCO'!F25</x:f>
        <x:v>79700</x:v>
      </x:c>
    </x:row>
    <x:row r="20">
      <x:c r="A20" s="23" t="inlineStr">
        <x:is>
          <x:t xml:space="preserve">Nota: el 'iceberg' ilustra cómo los costes indirectos suelen dominar el TCO total.</x:t>
        </x:is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fa42d9ad216c45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20" customWidth="1"/>
    <x:col min="3" max="3" width="20" customWidth="1"/>
    <x:col min="4" max="4" width="20" customWidth="1"/>
  </x:cols>
  <x:sheetData>
    <x:row r="1" ht="28" customHeight="1">
      <x:c r="A1" s="1" t="inlineStr">
        <x:is>
          <x:t xml:space="preserve">ROI (opcional) — comparativa con ahorros/beneficios</x:t>
        </x:is>
      </x:c>
    </x:row>
    <x:row r="3">
      <x:c r="A3" t="inlineStr">
        <x:is>
          <x:t xml:space="preserve">Años (desde TCO)</x:t>
        </x:is>
      </x:c>
      <x:c r="B3" s="20">
        <x:f> 'Modelo TCO'!$B$4</x:f>
        <x:v>5</x:v>
      </x:c>
    </x:row>
    <x:row r="4">
      <x:c r="A4" t="inlineStr">
        <x:is>
          <x:t xml:space="preserve">TCO total (desde TCO)</x:t>
        </x:is>
      </x:c>
      <x:c r="B4" s="21">
        <x:f> 'Modelo TCO'!F25</x:f>
        <x:v>79700</x:v>
      </x:c>
    </x:row>
    <x:row r="6">
      <x:c r="A6" t="inlineStr">
        <x:is>
          <x:t xml:space="preserve">Ahorro / beneficio anual estimado</x:t>
        </x:is>
      </x:c>
      <x:c r="B6" s="24" t="n">
        <x:v>0</x:v>
      </x:c>
    </x:row>
    <x:row r="7">
      <x:c r="A7" t="inlineStr">
        <x:is>
          <x:t xml:space="preserve">Tasa de descuento (para VAN)</x:t>
        </x:is>
      </x:c>
      <x:c r="B7" s="25" t="n">
        <x:v>0</x:v>
      </x:c>
    </x:row>
    <x:row r="9">
      <x:c r="A9" t="inlineStr">
        <x:is>
          <x:t xml:space="preserve">Beneficio total a N años</x:t>
        </x:is>
      </x:c>
      <x:c r="B9" s="22">
        <x:f>B6*B3</x:f>
        <x:v>0</x:v>
      </x:c>
    </x:row>
    <x:row r="10">
      <x:c r="A10" t="inlineStr">
        <x:is>
          <x:t xml:space="preserve">ROI</x:t>
        </x:is>
      </x:c>
      <x:c r="B10" s="26">
        <x:f>IF(B4&gt;0,(B9-B4)/B4,0)</x:f>
        <x:v>-1</x:v>
      </x:c>
    </x:row>
    <x:row r="11">
      <x:c r="A11" t="inlineStr">
        <x:is>
          <x:t xml:space="preserve">Payback (años)</x:t>
        </x:is>
      </x:c>
      <x:c r="B11" s="27">
        <x:f>IF(B6&gt;0,B4/B6,"")</x:f>
      </x:c>
    </x:row>
    <x:row r="13">
      <x:c r="A13" s="5" t="inlineStr">
        <x:is>
          <x:t xml:space="preserve">Año</x:t>
        </x:is>
      </x:c>
      <x:c r="B13" s="5" t="inlineStr">
        <x:is>
          <x:t xml:space="preserve">Ahorro</x:t>
        </x:is>
      </x:c>
    </x:row>
    <x:row r="14">
      <x:c r="A14" s="28" t="n">
        <x:v>1</x:v>
      </x:c>
      <x:c r="B14" s="29">
        <x:f>IF($B$3&gt;=1,$B$6,0)</x:f>
        <x:v>0</x:v>
      </x:c>
    </x:row>
    <x:row r="15">
      <x:c r="A15" s="28" t="n">
        <x:v>2</x:v>
      </x:c>
      <x:c r="B15" s="29">
        <x:f>IF($B$3&gt;=2,$B$6,0)</x:f>
        <x:v>0</x:v>
      </x:c>
    </x:row>
    <x:row r="16">
      <x:c r="A16" s="28" t="n">
        <x:v>3</x:v>
      </x:c>
      <x:c r="B16" s="29">
        <x:f>IF($B$3&gt;=3,$B$6,0)</x:f>
        <x:v>0</x:v>
      </x:c>
    </x:row>
    <x:row r="17">
      <x:c r="A17" s="28" t="n">
        <x:v>4</x:v>
      </x:c>
      <x:c r="B17" s="29">
        <x:f>IF($B$3&gt;=4,$B$6,0)</x:f>
        <x:v>0</x:v>
      </x:c>
    </x:row>
    <x:row r="18">
      <x:c r="A18" s="28" t="n">
        <x:v>5</x:v>
      </x:c>
      <x:c r="B18" s="29">
        <x:f>IF($B$3&gt;=5,$B$6,0)</x:f>
        <x:v>0</x:v>
      </x:c>
    </x:row>
    <x:row r="19">
      <x:c r="A19" s="28" t="n">
        <x:v>6</x:v>
      </x:c>
      <x:c r="B19" s="29">
        <x:f>IF($B$3&gt;=6,$B$6,0)</x:f>
        <x:v>0</x:v>
      </x:c>
    </x:row>
    <x:row r="20">
      <x:c r="A20" s="28" t="n">
        <x:v>7</x:v>
      </x:c>
      <x:c r="B20" s="29">
        <x:f>IF($B$3&gt;=7,$B$6,0)</x:f>
        <x:v>0</x:v>
      </x:c>
    </x:row>
    <x:row r="21">
      <x:c r="A21" s="28" t="n">
        <x:v>8</x:v>
      </x:c>
      <x:c r="B21" s="29">
        <x:f>IF($B$3&gt;=8,$B$6,0)</x:f>
        <x:v>0</x:v>
      </x:c>
    </x:row>
    <x:row r="22">
      <x:c r="A22" s="28" t="n">
        <x:v>9</x:v>
      </x:c>
      <x:c r="B22" s="29">
        <x:f>IF($B$3&gt;=9,$B$6,0)</x:f>
        <x:v>0</x:v>
      </x:c>
    </x:row>
    <x:row r="23">
      <x:c r="A23" s="28" t="n">
        <x:v>10</x:v>
      </x:c>
      <x:c r="B23" s="29">
        <x:f>IF($B$3&gt;=10,$B$6,0)</x:f>
        <x:v>0</x:v>
      </x:c>
    </x:row>
    <x:row r="25">
      <x:c r="A25" t="inlineStr">
        <x:is>
          <x:t xml:space="preserve">VAN (NPV) de ahorros - TCO</x:t>
        </x:is>
      </x:c>
      <x:c r="B25" s="22">
        <x:f>NPV($B$7,B14:B23)-$B$4</x:f>
        <x:v>-79700</x:v>
      </x:c>
    </x:row>
    <x:row r="27">
      <x:c r="A27" s="23" t="inlineStr">
        <x:is>
          <x:t xml:space="preserve">Tip: introduce un ahorro anual &gt; 0 (B6) para ver ROI, payback y VAN.</x:t>
        </x:is>
      </x:c>
    </x:row>
  </x:sheetData>
  <x:mergeCells>
    <x:mergeCell ref="A1:D1"/>
  </x:mergeCells>
  <x:pageMargins left="0.7" right="0.7" top="0.75" bottom="0.75" header="0.3" footer="0.3"/>
</x:worksheet>
</file>