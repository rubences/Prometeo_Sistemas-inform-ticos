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Calculadora TCO" sheetId="2" state="visible" r:id="rId2"/>
    <sheet xmlns:r="http://schemas.openxmlformats.org/officeDocument/2006/relationships" name="Escenarios" sheetId="3" state="visible" r:id="rId3"/>
    <sheet xmlns:r="http://schemas.openxmlformats.org/officeDocument/2006/relationships" name="Parámetros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RO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"/>
    <numFmt numFmtId="165" formatCode="0;[Red](0);&quot;-&quot;"/>
    <numFmt numFmtId="166" formatCode="#,##0&quot; €&quot;;[Red](#,##0&quot; €&quot;);&quot;-&quot;"/>
    <numFmt numFmtId="167" formatCode="0.0%"/>
    <numFmt numFmtId="168" formatCode="0.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497D"/>
    </font>
    <font>
      <i val="1"/>
      <color rgb="007F7F7F"/>
    </font>
    <font>
      <b val="1"/>
      <color rgb="000000FF"/>
    </font>
    <font>
      <color rgb="000000FF"/>
    </font>
    <font>
      <b val="1"/>
      <color rgb="00008000"/>
    </font>
    <font>
      <color rgb="00FFFFFF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404040"/>
      </top>
      <bottom/>
      <diagonal/>
    </border>
    <border>
      <left/>
      <right style="thin">
        <color rgb="00404040"/>
      </right>
      <top style="thin">
        <color rgb="00404040"/>
      </top>
      <bottom/>
      <diagonal/>
    </border>
    <border>
      <left/>
      <right/>
      <top style="thin">
        <color rgb="00404040"/>
      </top>
      <bottom style="thin">
        <color rgb="00404040"/>
      </bottom>
      <diagonal/>
    </border>
    <border>
      <left/>
      <right style="thin">
        <color rgb="00404040"/>
      </right>
      <top style="thin">
        <color rgb="00404040"/>
      </top>
      <bottom style="thin">
        <color rgb="0040404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3" fillId="0" borderId="0" pivotButton="0" quotePrefix="0" xfId="0"/>
    <xf numFmtId="164" fontId="3" fillId="4" borderId="1" pivotButton="0" quotePrefix="0" xfId="0"/>
    <xf numFmtId="0" fontId="2" fillId="5" borderId="1" pivotButton="0" quotePrefix="0" xfId="0"/>
    <xf numFmtId="164" fontId="3" fillId="6" borderId="1" pivotButton="0" quotePrefix="0" xfId="0"/>
    <xf numFmtId="0" fontId="0" fillId="0" borderId="2" pivotButton="0" quotePrefix="0" xfId="0"/>
    <xf numFmtId="165" fontId="0" fillId="0" borderId="2" applyAlignment="1" pivotButton="0" quotePrefix="0" xfId="0">
      <alignment horizontal="center"/>
    </xf>
    <xf numFmtId="166" fontId="0" fillId="0" borderId="2" pivotButton="0" quotePrefix="0" xfId="0"/>
    <xf numFmtId="0" fontId="3" fillId="4" borderId="2" applyAlignment="1" pivotButton="0" quotePrefix="0" xfId="0">
      <alignment horizontal="right" vertical="center" wrapText="1"/>
    </xf>
    <xf numFmtId="166" fontId="3" fillId="4" borderId="2" applyAlignment="1" pivotButton="0" quotePrefix="0" xfId="0">
      <alignment horizontal="right" vertical="center" wrapText="1"/>
    </xf>
    <xf numFmtId="0" fontId="5" fillId="0" borderId="0" pivotButton="0" quotePrefix="0" xfId="0"/>
    <xf numFmtId="0" fontId="8" fillId="0" borderId="0" pivotButton="0" quotePrefix="0" xfId="0"/>
    <xf numFmtId="0" fontId="8" fillId="0" borderId="1" applyAlignment="1" pivotButton="0" quotePrefix="0" xfId="0">
      <alignment horizontal="center"/>
    </xf>
    <xf numFmtId="0" fontId="2" fillId="5" borderId="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right" vertical="center" wrapText="1"/>
    </xf>
    <xf numFmtId="167" fontId="8" fillId="0" borderId="2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right" vertical="center" wrapText="1"/>
    </xf>
    <xf numFmtId="167" fontId="0" fillId="0" borderId="2" applyAlignment="1" pivotButton="0" quotePrefix="0" xfId="0">
      <alignment horizontal="right" vertical="center" wrapText="1"/>
    </xf>
    <xf numFmtId="166" fontId="0" fillId="0" borderId="2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5" fontId="7" fillId="0" borderId="2" applyAlignment="1" pivotButton="0" quotePrefix="0" xfId="0">
      <alignment horizontal="right" vertical="center" wrapText="1"/>
    </xf>
    <xf numFmtId="167" fontId="7" fillId="0" borderId="2" applyAlignment="1" pivotButton="0" quotePrefix="0" xfId="0">
      <alignment horizontal="right" vertical="center" wrapText="1"/>
    </xf>
    <xf numFmtId="166" fontId="7" fillId="0" borderId="2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166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3" fillId="4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6" fontId="10" fillId="0" borderId="0" pivotButton="0" quotePrefix="0" xfId="0"/>
    <xf numFmtId="167" fontId="8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166" fontId="6" fillId="0" borderId="0" pivotButton="0" quotePrefix="0" xfId="0"/>
    <xf numFmtId="165" fontId="10" fillId="0" borderId="0" pivotButton="0" quotePrefix="0" xfId="0"/>
    <xf numFmtId="167" fontId="1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" fontId="0" fillId="0" borderId="2" applyAlignment="1" pivotButton="0" quotePrefix="0" xfId="0">
      <alignment horizontal="center"/>
    </xf>
    <xf numFmtId="164" fontId="0" fillId="0" borderId="2" pivotButton="0" quotePrefix="0" xfId="0"/>
    <xf numFmtId="164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164" fontId="8" fillId="0" borderId="2" applyAlignment="1" pivotButton="0" quotePrefix="0" xfId="0">
      <alignment horizontal="right" vertical="center" wrapText="1"/>
    </xf>
    <xf numFmtId="165" fontId="4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right" vertical="center" wrapText="1"/>
    </xf>
    <xf numFmtId="164" fontId="0" fillId="0" borderId="2" applyAlignment="1" pivotButton="0" quotePrefix="0" xfId="0">
      <alignment horizontal="right" vertical="center" wrapText="1"/>
    </xf>
    <xf numFmtId="165" fontId="7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4" fontId="8" fillId="0" borderId="0" pivotButton="0" quotePrefix="0" xfId="0"/>
    <xf numFmtId="165" fontId="9" fillId="0" borderId="0" pivotButton="0" quotePrefix="0" xfId="0"/>
    <xf numFmtId="164" fontId="10" fillId="0" borderId="0" pivotButton="0" quotePrefix="0" xfId="0"/>
    <xf numFmtId="164" fontId="6" fillId="0" borderId="0" pivotButton="0" quotePrefix="0" xfId="0"/>
    <xf numFmtId="165" fontId="1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Iceberg TCO: Directos vs Indirectos</a:t>
            </a:r>
          </a:p>
        </rich>
      </tx>
    </title>
    <plotArea>
      <barChart>
        <barDir val="col"/>
        <grouping val="stack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'Dashboard'!$D$3:$D$4</f>
            </numRef>
          </cat>
          <val>
            <numRef>
              <f>'Dashboard'!$E$3:$E$4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Coste total por año (nominal)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'Dashboard'!$A$21:$A$31</f>
            </numRef>
          </cat>
          <val>
            <numRef>
              <f>'Dashboard'!$B$21:$B$31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35.7109375" customWidth="1" min="2" max="2"/>
    <col width="10.7109375" customWidth="1" min="3" max="3"/>
    <col width="20.7109375" customWidth="1" min="4" max="7"/>
  </cols>
  <sheetData>
    <row r="1">
      <c r="A1" s="1" t="inlineStr">
        <is>
          <t xml:space="preserve"> INVENTARIO DE INFRAESTRUCTURA (CAPEX Y OPEX)</t>
        </is>
      </c>
    </row>
    <row r="3">
      <c r="A3" s="2" t="inlineStr">
        <is>
          <t>Categoría</t>
        </is>
      </c>
      <c r="B3" s="2" t="inlineStr">
        <is>
          <t>Concepto / Equipo</t>
        </is>
      </c>
      <c r="C3" s="2" t="inlineStr">
        <is>
          <t>Cant.</t>
        </is>
      </c>
      <c r="D3" s="2" t="inlineStr">
        <is>
          <t>Coste Adq. Unidad</t>
        </is>
      </c>
      <c r="E3" s="2" t="inlineStr">
        <is>
          <t>Coste Recurrente Anual</t>
        </is>
      </c>
      <c r="F3" s="2" t="inlineStr">
        <is>
          <t>Total Adquisición (CAPEX)</t>
        </is>
      </c>
      <c r="G3" s="2" t="inlineStr">
        <is>
          <t>Total Recurrente (OPEX)</t>
        </is>
      </c>
    </row>
    <row r="4">
      <c r="A4" s="10" t="inlineStr">
        <is>
          <t>Puestos de Trabajo</t>
        </is>
      </c>
      <c r="B4" s="10" t="inlineStr">
        <is>
          <t>Portátiles empleados</t>
        </is>
      </c>
      <c r="C4" s="49" t="n">
        <v>20</v>
      </c>
      <c r="D4" s="50" t="n">
        <v>850</v>
      </c>
      <c r="E4" s="50" t="n">
        <v>0</v>
      </c>
      <c r="F4" s="50">
        <f>IF(OR(C4="",D4=""),"",C4*D4)</f>
        <v/>
      </c>
      <c r="G4" s="50">
        <f>IF(OR(C4="",E4=""),"",C4*E4)</f>
        <v/>
      </c>
    </row>
    <row r="5">
      <c r="A5" s="10" t="inlineStr">
        <is>
          <t>Puestos de Trabajo</t>
        </is>
      </c>
      <c r="B5" s="10" t="inlineStr">
        <is>
          <t>Monitores y periféricos</t>
        </is>
      </c>
      <c r="C5" s="49" t="n">
        <v>20</v>
      </c>
      <c r="D5" s="50" t="n">
        <v>150</v>
      </c>
      <c r="E5" s="50" t="n">
        <v>0</v>
      </c>
      <c r="F5" s="50">
        <f>IF(OR(C5="",D5=""),"",C5*D5)</f>
        <v/>
      </c>
      <c r="G5" s="50">
        <f>IF(OR(C5="",E5=""),"",C5*E5)</f>
        <v/>
      </c>
    </row>
    <row r="6">
      <c r="A6" s="10" t="inlineStr">
        <is>
          <t>Redes y Seguridad</t>
        </is>
      </c>
      <c r="B6" s="10" t="inlineStr">
        <is>
          <t>Firewall (Hardware + Licencia)</t>
        </is>
      </c>
      <c r="C6" s="49" t="n">
        <v>1</v>
      </c>
      <c r="D6" s="50" t="n">
        <v>900</v>
      </c>
      <c r="E6" s="50" t="n">
        <v>300</v>
      </c>
      <c r="F6" s="50">
        <f>IF(OR(C6="",D6=""),"",C6*D6)</f>
        <v/>
      </c>
      <c r="G6" s="50">
        <f>IF(OR(C6="",E6=""),"",C6*E6)</f>
        <v/>
      </c>
    </row>
    <row r="7">
      <c r="A7" s="10" t="inlineStr">
        <is>
          <t>Redes y Seguridad</t>
        </is>
      </c>
      <c r="B7" s="10" t="inlineStr">
        <is>
          <t>Línea de Internet Fibra</t>
        </is>
      </c>
      <c r="C7" s="49" t="n">
        <v>1</v>
      </c>
      <c r="D7" s="50" t="n">
        <v>0</v>
      </c>
      <c r="E7" s="50" t="n">
        <v>840</v>
      </c>
      <c r="F7" s="50">
        <f>IF(OR(C7="",D7=""),"",C7*D7)</f>
        <v/>
      </c>
      <c r="G7" s="50">
        <f>IF(OR(C7="",E7=""),"",C7*E7)</f>
        <v/>
      </c>
    </row>
    <row r="8">
      <c r="A8" s="10" t="inlineStr">
        <is>
          <t>Servidores / Cloud</t>
        </is>
      </c>
      <c r="B8" s="10" t="inlineStr">
        <is>
          <t>Instancia AWS o Azure</t>
        </is>
      </c>
      <c r="C8" s="49" t="n">
        <v>2</v>
      </c>
      <c r="D8" s="50" t="n">
        <v>0</v>
      </c>
      <c r="E8" s="50" t="n">
        <v>1200</v>
      </c>
      <c r="F8" s="50">
        <f>IF(OR(C8="",D8=""),"",C8*D8)</f>
        <v/>
      </c>
      <c r="G8" s="50">
        <f>IF(OR(C8="",E8=""),"",C8*E8)</f>
        <v/>
      </c>
    </row>
    <row r="9">
      <c r="A9" s="10" t="inlineStr">
        <is>
          <t>Software General</t>
        </is>
      </c>
      <c r="B9" s="10" t="inlineStr">
        <is>
          <t>Licencias Microsoft 365</t>
        </is>
      </c>
      <c r="C9" s="49" t="n">
        <v>20</v>
      </c>
      <c r="D9" s="50" t="n">
        <v>0</v>
      </c>
      <c r="E9" s="50" t="n">
        <v>144</v>
      </c>
      <c r="F9" s="50">
        <f>IF(OR(C9="",D9=""),"",C9*D9)</f>
        <v/>
      </c>
      <c r="G9" s="50">
        <f>IF(OR(C9="",E9=""),"",C9*E9)</f>
        <v/>
      </c>
    </row>
    <row r="10">
      <c r="A10" s="10" t="inlineStr">
        <is>
          <t>Software General</t>
        </is>
      </c>
      <c r="B10" s="10" t="inlineStr">
        <is>
          <t>CRM / ERP (Suscripción)</t>
        </is>
      </c>
      <c r="C10" s="49" t="n">
        <v>15</v>
      </c>
      <c r="D10" s="50" t="n">
        <v>0</v>
      </c>
      <c r="E10" s="50" t="n">
        <v>600</v>
      </c>
      <c r="F10" s="50">
        <f>IF(OR(C10="",D10=""),"",C10*D10)</f>
        <v/>
      </c>
      <c r="G10" s="50">
        <f>IF(OR(C10="",E10=""),"",C10*E10)</f>
        <v/>
      </c>
    </row>
    <row r="11">
      <c r="A11" s="10" t="n"/>
      <c r="B11" s="10" t="n"/>
      <c r="C11" s="49" t="n"/>
      <c r="D11" s="50" t="n"/>
      <c r="E11" s="50" t="n"/>
      <c r="F11" s="50">
        <f>IF(OR(C11="",D11=""),"",C11*D11)</f>
        <v/>
      </c>
      <c r="G11" s="50">
        <f>IF(OR(C11="",E11=""),"",C11*E11)</f>
        <v/>
      </c>
    </row>
    <row r="12">
      <c r="A12" s="10" t="n"/>
      <c r="B12" s="10" t="n"/>
      <c r="C12" s="49" t="n"/>
      <c r="D12" s="50" t="n"/>
      <c r="E12" s="50" t="n"/>
      <c r="F12" s="50">
        <f>IF(OR(C12="",D12=""),"",C12*D12)</f>
        <v/>
      </c>
      <c r="G12" s="50">
        <f>IF(OR(C12="",E12=""),"",C12*E12)</f>
        <v/>
      </c>
    </row>
    <row r="13">
      <c r="A13" s="10" t="n"/>
      <c r="B13" s="10" t="n"/>
      <c r="C13" s="49" t="n"/>
      <c r="D13" s="50" t="n"/>
      <c r="E13" s="50" t="n"/>
      <c r="F13" s="50">
        <f>IF(OR(C13="",D13=""),"",C13*D13)</f>
        <v/>
      </c>
      <c r="G13" s="50">
        <f>IF(OR(C13="",E13=""),"",C13*E13)</f>
        <v/>
      </c>
    </row>
    <row r="14">
      <c r="A14" s="10" t="n"/>
      <c r="B14" s="10" t="n"/>
      <c r="C14" s="49" t="n"/>
      <c r="D14" s="50" t="n"/>
      <c r="E14" s="50" t="n"/>
      <c r="F14" s="50">
        <f>IF(OR(C14="",D14=""),"",C14*D14)</f>
        <v/>
      </c>
      <c r="G14" s="50">
        <f>IF(OR(C14="",E14=""),"",C14*E14)</f>
        <v/>
      </c>
    </row>
    <row r="15">
      <c r="A15" s="10" t="n"/>
      <c r="B15" s="10" t="n"/>
      <c r="C15" s="49" t="n"/>
      <c r="D15" s="50" t="n"/>
      <c r="E15" s="50" t="n"/>
      <c r="F15" s="50">
        <f>IF(OR(C15="",D15=""),"",C15*D15)</f>
        <v/>
      </c>
      <c r="G15" s="50">
        <f>IF(OR(C15="",E15=""),"",C15*E15)</f>
        <v/>
      </c>
    </row>
    <row r="16">
      <c r="A16" s="10" t="n"/>
      <c r="B16" s="10" t="n"/>
      <c r="C16" s="49" t="n"/>
      <c r="D16" s="50" t="n"/>
      <c r="E16" s="50" t="n"/>
      <c r="F16" s="50">
        <f>IF(OR(C16="",D16=""),"",C16*D16)</f>
        <v/>
      </c>
      <c r="G16" s="50">
        <f>IF(OR(C16="",E16=""),"",C16*E16)</f>
        <v/>
      </c>
    </row>
    <row r="17">
      <c r="A17" s="10" t="n"/>
      <c r="B17" s="10" t="n"/>
      <c r="C17" s="49" t="n"/>
      <c r="D17" s="50" t="n"/>
      <c r="E17" s="50" t="n"/>
      <c r="F17" s="50">
        <f>IF(OR(C17="",D17=""),"",C17*D17)</f>
        <v/>
      </c>
      <c r="G17" s="50">
        <f>IF(OR(C17="",E17=""),"",C17*E17)</f>
        <v/>
      </c>
    </row>
    <row r="18">
      <c r="A18" s="10" t="n"/>
      <c r="B18" s="10" t="n"/>
      <c r="C18" s="49" t="n"/>
      <c r="D18" s="50" t="n"/>
      <c r="E18" s="50" t="n"/>
      <c r="F18" s="50">
        <f>IF(OR(C18="",D18=""),"",C18*D18)</f>
        <v/>
      </c>
      <c r="G18" s="50">
        <f>IF(OR(C18="",E18=""),"",C18*E18)</f>
        <v/>
      </c>
    </row>
    <row r="19">
      <c r="A19" s="10" t="n"/>
      <c r="B19" s="10" t="n"/>
      <c r="C19" s="49" t="n"/>
      <c r="D19" s="50" t="n"/>
      <c r="E19" s="50" t="n"/>
      <c r="F19" s="50">
        <f>IF(OR(C19="",D19=""),"",C19*D19)</f>
        <v/>
      </c>
      <c r="G19" s="50">
        <f>IF(OR(C19="",E19=""),"",C19*E19)</f>
        <v/>
      </c>
    </row>
    <row r="20">
      <c r="A20" s="10" t="n"/>
      <c r="B20" s="10" t="n"/>
      <c r="C20" s="49" t="n"/>
      <c r="D20" s="50" t="n"/>
      <c r="E20" s="50" t="n"/>
      <c r="F20" s="50">
        <f>IF(OR(C20="",D20=""),"",C20*D20)</f>
        <v/>
      </c>
      <c r="G20" s="50">
        <f>IF(OR(C20="",E20=""),"",C20*E20)</f>
        <v/>
      </c>
    </row>
    <row r="21">
      <c r="A21" s="10" t="n"/>
      <c r="B21" s="10" t="n"/>
      <c r="C21" s="49" t="n"/>
      <c r="D21" s="50" t="n"/>
      <c r="E21" s="50" t="n"/>
      <c r="F21" s="50">
        <f>IF(OR(C21="",D21=""),"",C21*D21)</f>
        <v/>
      </c>
      <c r="G21" s="50">
        <f>IF(OR(C21="",E21=""),"",C21*E21)</f>
        <v/>
      </c>
    </row>
    <row r="22">
      <c r="A22" s="10" t="n"/>
      <c r="B22" s="10" t="n"/>
      <c r="C22" s="49" t="n"/>
      <c r="D22" s="50" t="n"/>
      <c r="E22" s="50" t="n"/>
      <c r="F22" s="50">
        <f>IF(OR(C22="",D22=""),"",C22*D22)</f>
        <v/>
      </c>
      <c r="G22" s="50">
        <f>IF(OR(C22="",E22=""),"",C22*E22)</f>
        <v/>
      </c>
    </row>
    <row r="23">
      <c r="A23" s="10" t="n"/>
      <c r="B23" s="10" t="n"/>
      <c r="C23" s="49" t="n"/>
      <c r="D23" s="50" t="n"/>
      <c r="E23" s="50" t="n"/>
      <c r="F23" s="50">
        <f>IF(OR(C23="",D23=""),"",C23*D23)</f>
        <v/>
      </c>
      <c r="G23" s="50">
        <f>IF(OR(C23="",E23=""),"",C23*E23)</f>
        <v/>
      </c>
    </row>
    <row r="24">
      <c r="A24" s="10" t="n"/>
      <c r="B24" s="10" t="n"/>
      <c r="C24" s="49" t="n"/>
      <c r="D24" s="50" t="n"/>
      <c r="E24" s="50" t="n"/>
      <c r="F24" s="50">
        <f>IF(OR(C24="",D24=""),"",C24*D24)</f>
        <v/>
      </c>
      <c r="G24" s="50">
        <f>IF(OR(C24="",E24=""),"",C24*E24)</f>
        <v/>
      </c>
    </row>
    <row r="25">
      <c r="A25" s="10" t="n"/>
      <c r="B25" s="10" t="n"/>
      <c r="C25" s="49" t="n"/>
      <c r="D25" s="50" t="n"/>
      <c r="E25" s="50" t="n"/>
      <c r="F25" s="50">
        <f>IF(OR(C25="",D25=""),"",C25*D25)</f>
        <v/>
      </c>
      <c r="G25" s="50">
        <f>IF(OR(C25="",E25=""),"",C25*E25)</f>
        <v/>
      </c>
    </row>
    <row r="26">
      <c r="A26" s="10" t="n"/>
      <c r="B26" s="10" t="n"/>
      <c r="C26" s="49" t="n"/>
      <c r="D26" s="50" t="n"/>
      <c r="E26" s="50" t="n"/>
      <c r="F26" s="50">
        <f>IF(OR(C26="",D26=""),"",C26*D26)</f>
        <v/>
      </c>
      <c r="G26" s="50">
        <f>IF(OR(C26="",E26=""),"",C26*E26)</f>
        <v/>
      </c>
    </row>
    <row r="27">
      <c r="A27" s="10" t="n"/>
      <c r="B27" s="10" t="n"/>
      <c r="C27" s="49" t="n"/>
      <c r="D27" s="50" t="n"/>
      <c r="E27" s="50" t="n"/>
      <c r="F27" s="50">
        <f>IF(OR(C27="",D27=""),"",C27*D27)</f>
        <v/>
      </c>
      <c r="G27" s="50">
        <f>IF(OR(C27="",E27=""),"",C27*E27)</f>
        <v/>
      </c>
    </row>
    <row r="28">
      <c r="A28" s="10" t="n"/>
      <c r="B28" s="10" t="n"/>
      <c r="C28" s="49" t="n"/>
      <c r="D28" s="50" t="n"/>
      <c r="E28" s="50" t="n"/>
      <c r="F28" s="50">
        <f>IF(OR(C28="",D28=""),"",C28*D28)</f>
        <v/>
      </c>
      <c r="G28" s="50">
        <f>IF(OR(C28="",E28=""),"",C28*E28)</f>
        <v/>
      </c>
    </row>
    <row r="29">
      <c r="A29" s="10" t="n"/>
      <c r="B29" s="10" t="n"/>
      <c r="C29" s="49" t="n"/>
      <c r="D29" s="50" t="n"/>
      <c r="E29" s="50" t="n"/>
      <c r="F29" s="50">
        <f>IF(OR(C29="",D29=""),"",C29*D29)</f>
        <v/>
      </c>
      <c r="G29" s="50">
        <f>IF(OR(C29="",E29=""),"",C29*E29)</f>
        <v/>
      </c>
    </row>
    <row r="30">
      <c r="A30" s="10" t="n"/>
      <c r="B30" s="10" t="n"/>
      <c r="C30" s="49" t="n"/>
      <c r="D30" s="50" t="n"/>
      <c r="E30" s="50" t="n"/>
      <c r="F30" s="50">
        <f>IF(OR(C30="",D30=""),"",C30*D30)</f>
        <v/>
      </c>
      <c r="G30" s="50">
        <f>IF(OR(C30="",E30=""),"",C30*E30)</f>
        <v/>
      </c>
    </row>
    <row r="31">
      <c r="E31" s="13" t="inlineStr">
        <is>
          <t>TOTALES:</t>
        </is>
      </c>
      <c r="F31" s="51">
        <f>SUM(F4:F30)</f>
        <v/>
      </c>
      <c r="G31" s="51">
        <f>SUM(G4:G30)</f>
        <v/>
      </c>
    </row>
  </sheetData>
  <mergeCells count="1">
    <mergeCell ref="A1:G1"/>
  </mergeCells>
  <dataValidations count="1">
    <dataValidation sqref="A4:A30" showDropDown="0" showInputMessage="0" showErrorMessage="0" allowBlank="1" type="list">
      <formula1>"Puestos de Trabajo,Redes y Seguridad,Servidores / Cloud,Software General,Otros"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4"/>
    <col width="18" customWidth="1" min="4" max="4"/>
    <col width="18" customWidth="1" min="5" max="5"/>
  </cols>
  <sheetData>
    <row r="1">
      <c r="A1" s="1" t="inlineStr">
        <is>
          <t xml:space="preserve"> CALCULADORA TCO GLOBAL</t>
        </is>
      </c>
    </row>
    <row r="2">
      <c r="A2" s="15" t="inlineStr">
        <is>
          <t>Escenario (ver Parámetros)</t>
        </is>
      </c>
      <c r="B2" s="16">
        <f>Parámetros!B3</f>
        <v/>
      </c>
    </row>
    <row r="3">
      <c r="A3" s="6" t="inlineStr">
        <is>
          <t>Años de proyección (Amortización):</t>
        </is>
      </c>
      <c r="B3" s="17">
        <f>Parámetros!B6</f>
        <v/>
      </c>
    </row>
    <row r="5">
      <c r="A5" s="6" t="inlineStr">
        <is>
          <t>COSTES DIRECTOS (PRESUPUESTADOS)</t>
        </is>
      </c>
    </row>
    <row r="6">
      <c r="A6" s="8" t="inlineStr">
        <is>
          <t>Categoría</t>
        </is>
      </c>
      <c r="B6" s="8" t="inlineStr">
        <is>
          <t>Concepto</t>
        </is>
      </c>
      <c r="C6" s="8" t="inlineStr">
        <is>
          <t>Valor (Unit./Anual)</t>
        </is>
      </c>
      <c r="D6" s="8" t="inlineStr">
        <is>
          <t>Cantidad / Años</t>
        </is>
      </c>
      <c r="E6" s="8" t="inlineStr">
        <is>
          <t>Total Proyectado (€)</t>
        </is>
      </c>
    </row>
    <row r="7">
      <c r="A7" s="3" t="inlineStr">
        <is>
          <t>Infraestructura</t>
        </is>
      </c>
      <c r="B7" s="3" t="inlineStr">
        <is>
          <t>Inversión Inicial (CAPEX Total)</t>
        </is>
      </c>
      <c r="C7" s="5">
        <f>Inventario!F31</f>
        <v/>
      </c>
      <c r="D7" s="4" t="n">
        <v>1</v>
      </c>
      <c r="E7" s="5">
        <f>C7*D7</f>
        <v/>
      </c>
    </row>
    <row r="8">
      <c r="A8" s="3" t="inlineStr">
        <is>
          <t>Infraestructura</t>
        </is>
      </c>
      <c r="B8" s="3" t="inlineStr">
        <is>
          <t>Costes Recurrentes (OPEX Total Anual)</t>
        </is>
      </c>
      <c r="C8" s="5">
        <f>Inventario!G31</f>
        <v/>
      </c>
      <c r="D8" s="4">
        <f>B3</f>
        <v/>
      </c>
      <c r="E8" s="5">
        <f>C8*D8</f>
        <v/>
      </c>
    </row>
    <row r="9">
      <c r="A9" s="3" t="inlineStr">
        <is>
          <t>Formación Admin.</t>
        </is>
      </c>
      <c r="B9" s="3" t="inlineStr">
        <is>
          <t>Formación (Coste h x Total Horas)</t>
        </is>
      </c>
      <c r="C9" s="5">
        <f>Parámetros!$B$11</f>
        <v/>
      </c>
      <c r="D9" s="4">
        <f>Parámetros!$B$10*Parámetros!$B$12</f>
        <v/>
      </c>
      <c r="E9" s="5">
        <f>C9*D9</f>
        <v/>
      </c>
    </row>
    <row r="10">
      <c r="A10" s="3" t="inlineStr">
        <is>
          <t>Administración</t>
        </is>
      </c>
      <c r="B10" s="3" t="inlineStr">
        <is>
          <t>Auditorías / Mantenimientos extra (anual)</t>
        </is>
      </c>
      <c r="C10" s="5">
        <f>Parámetros!$B$13</f>
        <v/>
      </c>
      <c r="D10" s="4">
        <f>B3</f>
        <v/>
      </c>
      <c r="E10" s="5">
        <f>C10*D10</f>
        <v/>
      </c>
    </row>
    <row r="11">
      <c r="D11" s="6" t="inlineStr">
        <is>
          <t>SUBTOTAL DIRECTOS:</t>
        </is>
      </c>
      <c r="E11" s="7">
        <f>SUM(E7:E10)</f>
        <v/>
      </c>
    </row>
    <row r="13">
      <c r="A13" s="6" t="inlineStr">
        <is>
          <t>COSTES INDIRECTOS (OCULTOS)</t>
        </is>
      </c>
    </row>
    <row r="14">
      <c r="A14" s="8" t="inlineStr">
        <is>
          <t>Categoría</t>
        </is>
      </c>
      <c r="B14" s="8" t="inlineStr">
        <is>
          <t>Concepto</t>
        </is>
      </c>
      <c r="C14" s="8" t="inlineStr">
        <is>
          <t>Valor (Unit./Anual)</t>
        </is>
      </c>
      <c r="D14" s="8" t="inlineStr">
        <is>
          <t>Cantidad / Años</t>
        </is>
      </c>
      <c r="E14" s="8" t="inlineStr">
        <is>
          <t>Total Proyectado (€)</t>
        </is>
      </c>
    </row>
    <row r="15">
      <c r="A15" s="3" t="inlineStr">
        <is>
          <t>Downtime (Fallos)</t>
        </is>
      </c>
      <c r="B15" s="3" t="inlineStr">
        <is>
          <t>Pérdida económica por hora inactividad</t>
        </is>
      </c>
      <c r="C15" s="5">
        <f>Parámetros!$B$14</f>
        <v/>
      </c>
      <c r="D15" s="4">
        <f>Parámetros!$B$15*Parámetros!$B$16*B$3</f>
        <v/>
      </c>
      <c r="E15" s="5">
        <f>C15*D15</f>
        <v/>
      </c>
    </row>
    <row r="16">
      <c r="A16" s="3" t="inlineStr">
        <is>
          <t>Costes de Usuario</t>
        </is>
      </c>
      <c r="B16" s="3" t="inlineStr">
        <is>
          <t>Autoaprendizaje usuarios (€/año)</t>
        </is>
      </c>
      <c r="C16" s="5">
        <f>Parámetros!$B$29</f>
        <v/>
      </c>
      <c r="D16" s="4">
        <f>B$3</f>
        <v/>
      </c>
      <c r="E16" s="5">
        <f>C16*D16</f>
        <v/>
      </c>
    </row>
    <row r="17">
      <c r="A17" s="3" t="inlineStr">
        <is>
          <t>Costes de Usuario</t>
        </is>
      </c>
      <c r="B17" s="3" t="inlineStr">
        <is>
          <t>Soporte entre compañeros (€/año)</t>
        </is>
      </c>
      <c r="C17" s="5">
        <f>Parámetros!$B$30</f>
        <v/>
      </c>
      <c r="D17" s="4">
        <f>B$3</f>
        <v/>
      </c>
      <c r="E17" s="5">
        <f>C17*D17</f>
        <v/>
      </c>
    </row>
    <row r="18">
      <c r="D18" s="6" t="inlineStr">
        <is>
          <t>SUBTOTAL INDIRECTOS:</t>
        </is>
      </c>
      <c r="E18" s="7">
        <f>SUM(E15:E17)</f>
        <v/>
      </c>
    </row>
    <row r="20">
      <c r="A20" s="1" t="inlineStr">
        <is>
          <t>COSTE TOTAL DE PROPIEDAD (TCO) PROYECTADO</t>
        </is>
      </c>
      <c r="E20" s="9">
        <f>E11+E18</f>
        <v/>
      </c>
    </row>
    <row r="22">
      <c r="A22" s="18" t="inlineStr">
        <is>
          <t>KPIs (nominal y VAN)</t>
        </is>
      </c>
    </row>
    <row r="23">
      <c r="A23" s="19" t="inlineStr">
        <is>
          <t>TCO nominal (Cashflow)</t>
        </is>
      </c>
      <c r="B23" s="52" t="n"/>
      <c r="C23" s="52" t="n"/>
      <c r="D23" s="53" t="n"/>
      <c r="E23" s="54">
        <f>Cashflow!M15</f>
        <v/>
      </c>
    </row>
    <row r="24">
      <c r="A24" s="19" t="inlineStr">
        <is>
          <t>TCO VAN (descontado)</t>
        </is>
      </c>
      <c r="B24" s="52" t="n"/>
      <c r="C24" s="52" t="n"/>
      <c r="D24" s="53" t="n"/>
      <c r="E24" s="54">
        <f>Cashflow!N15</f>
        <v/>
      </c>
    </row>
    <row r="25">
      <c r="A25" s="19" t="inlineStr">
        <is>
          <t>Coste medio anual</t>
        </is>
      </c>
      <c r="B25" s="52" t="n"/>
      <c r="C25" s="52" t="n"/>
      <c r="D25" s="53" t="n"/>
      <c r="E25" s="54">
        <f>IF(B3&gt;0,Cashflow!M15/B3,0)</f>
        <v/>
      </c>
    </row>
    <row r="26">
      <c r="A26" s="19" t="inlineStr">
        <is>
          <t>% Directos (nominal)</t>
        </is>
      </c>
      <c r="B26" s="52" t="n"/>
      <c r="C26" s="52" t="n"/>
      <c r="D26" s="53" t="n"/>
      <c r="E26" s="21">
        <f>IF(Cashflow!M15&gt;0,Cashflow!M10/Cashflow!M15,0)</f>
        <v/>
      </c>
    </row>
    <row r="27">
      <c r="A27" s="19" t="inlineStr">
        <is>
          <t>% Indirectos (nominal)</t>
        </is>
      </c>
      <c r="B27" s="52" t="n"/>
      <c r="C27" s="52" t="n"/>
      <c r="D27" s="53" t="n"/>
      <c r="E27" s="21">
        <f>IF(Cashflow!M15&gt;0,Cashflow!M14/Cashflow!M15,0)</f>
        <v/>
      </c>
    </row>
  </sheetData>
  <mergeCells count="8">
    <mergeCell ref="A23:D23"/>
    <mergeCell ref="A27:D27"/>
    <mergeCell ref="A22:D22"/>
    <mergeCell ref="A26:D26"/>
    <mergeCell ref="A20:D20"/>
    <mergeCell ref="A1:E1"/>
    <mergeCell ref="A25:D25"/>
    <mergeCell ref="A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0" customWidth="1" min="4" max="4"/>
    <col width="9" customWidth="1" min="5" max="5"/>
    <col width="7" customWidth="1" min="6" max="6"/>
    <col width="15" customWidth="1" min="7" max="7"/>
    <col width="18" customWidth="1" min="8" max="8"/>
    <col width="13" customWidth="1" min="9" max="9"/>
    <col width="16" customWidth="1" min="10" max="10"/>
    <col width="13" customWidth="1" min="11" max="11"/>
    <col width="13" customWidth="1" min="12" max="12"/>
    <col width="22" customWidth="1" min="13" max="13"/>
    <col width="18" customWidth="1" min="14" max="14"/>
    <col width="16" customWidth="1" min="15" max="15"/>
  </cols>
  <sheetData>
    <row r="1" ht="26" customHeight="1">
      <c r="A1" s="22" t="inlineStr">
        <is>
          <t>ESCENARIOS (selección rápida de supuestos)</t>
        </is>
      </c>
    </row>
    <row r="3">
      <c r="A3" s="23" t="inlineStr">
        <is>
          <t>Escenario</t>
        </is>
      </c>
      <c r="B3" s="23" t="inlineStr">
        <is>
          <t>Años</t>
        </is>
      </c>
      <c r="C3" s="23" t="inlineStr">
        <is>
          <t>Inflación p.a.</t>
        </is>
      </c>
      <c r="D3" s="23" t="inlineStr">
        <is>
          <t>Descuento</t>
        </is>
      </c>
      <c r="E3" s="23" t="inlineStr">
        <is>
          <t>Usuarios</t>
        </is>
      </c>
      <c r="F3" s="23" t="inlineStr">
        <is>
          <t>Admins</t>
        </is>
      </c>
      <c r="G3" s="23" t="inlineStr">
        <is>
          <t>Coste hora admin</t>
        </is>
      </c>
      <c r="H3" s="23" t="inlineStr">
        <is>
          <t>Horas formación/admin</t>
        </is>
      </c>
      <c r="I3" s="23" t="inlineStr">
        <is>
          <t>Auditoría anual</t>
        </is>
      </c>
      <c r="J3" s="23" t="inlineStr">
        <is>
          <t>Coste hora downtime</t>
        </is>
      </c>
      <c r="K3" s="23" t="inlineStr">
        <is>
          <t>Horas/incidente</t>
        </is>
      </c>
      <c r="L3" s="23" t="inlineStr">
        <is>
          <t>Incidentes/año</t>
        </is>
      </c>
      <c r="M3" s="23" t="inlineStr">
        <is>
          <t>Autoaprendizaje h/usuario/año</t>
        </is>
      </c>
      <c r="N3" s="23" t="inlineStr">
        <is>
          <t>Soporte h/usuario/año</t>
        </is>
      </c>
      <c r="O3" s="23" t="inlineStr">
        <is>
          <t>Coste hora usuario</t>
        </is>
      </c>
    </row>
    <row r="4">
      <c r="A4" s="55" t="inlineStr">
        <is>
          <t>Base</t>
        </is>
      </c>
      <c r="B4" s="56" t="n">
        <v>5</v>
      </c>
      <c r="C4" s="26" t="n">
        <v>0</v>
      </c>
      <c r="D4" s="26" t="n">
        <v>0</v>
      </c>
      <c r="E4" s="56" t="n">
        <v>20</v>
      </c>
      <c r="F4" s="56" t="n">
        <v>2</v>
      </c>
      <c r="G4" s="57" t="n">
        <v>50</v>
      </c>
      <c r="H4" s="56" t="n">
        <v>40</v>
      </c>
      <c r="I4" s="57" t="n">
        <v>0</v>
      </c>
      <c r="J4" s="57" t="n">
        <v>150</v>
      </c>
      <c r="K4" s="56" t="n">
        <v>24</v>
      </c>
      <c r="L4" s="56" t="n">
        <v>4</v>
      </c>
      <c r="M4" s="56" t="n">
        <v>0</v>
      </c>
      <c r="N4" s="56" t="n">
        <v>0</v>
      </c>
      <c r="O4" s="57" t="n">
        <v>30</v>
      </c>
    </row>
    <row r="5">
      <c r="A5" s="55" t="inlineStr">
        <is>
          <t>Optimista</t>
        </is>
      </c>
      <c r="B5" s="56" t="n">
        <v>5</v>
      </c>
      <c r="C5" s="26" t="n">
        <v>0.02</v>
      </c>
      <c r="D5" s="26" t="n">
        <v>0.04</v>
      </c>
      <c r="E5" s="56" t="n">
        <v>20</v>
      </c>
      <c r="F5" s="56" t="n">
        <v>2</v>
      </c>
      <c r="G5" s="57" t="n">
        <v>50</v>
      </c>
      <c r="H5" s="56" t="n">
        <v>30</v>
      </c>
      <c r="I5" s="57" t="n">
        <v>0</v>
      </c>
      <c r="J5" s="57" t="n">
        <v>150</v>
      </c>
      <c r="K5" s="56" t="n">
        <v>8</v>
      </c>
      <c r="L5" s="56" t="n">
        <v>2</v>
      </c>
      <c r="M5" s="56" t="n">
        <v>0</v>
      </c>
      <c r="N5" s="56" t="n">
        <v>0</v>
      </c>
      <c r="O5" s="57" t="n">
        <v>30</v>
      </c>
    </row>
    <row r="6">
      <c r="A6" s="55" t="inlineStr">
        <is>
          <t>Pesimista</t>
        </is>
      </c>
      <c r="B6" s="56" t="n">
        <v>5</v>
      </c>
      <c r="C6" s="26" t="n">
        <v>0.03</v>
      </c>
      <c r="D6" s="26" t="n">
        <v>0.06</v>
      </c>
      <c r="E6" s="56" t="n">
        <v>20</v>
      </c>
      <c r="F6" s="56" t="n">
        <v>2</v>
      </c>
      <c r="G6" s="57" t="n">
        <v>55</v>
      </c>
      <c r="H6" s="56" t="n">
        <v>50</v>
      </c>
      <c r="I6" s="57" t="n">
        <v>500</v>
      </c>
      <c r="J6" s="57" t="n">
        <v>200</v>
      </c>
      <c r="K6" s="56" t="n">
        <v>36</v>
      </c>
      <c r="L6" s="56" t="n">
        <v>8</v>
      </c>
      <c r="M6" s="56" t="n">
        <v>2</v>
      </c>
      <c r="N6" s="56" t="n">
        <v>1</v>
      </c>
      <c r="O6" s="57" t="n">
        <v>35</v>
      </c>
    </row>
    <row r="8">
      <c r="A8" s="28" t="inlineStr">
        <is>
          <t>Edita los valores de cada escenario según tu caso. La hoja 'Parámetros' toma los valores del escenario seleccionado (B3).</t>
        </is>
      </c>
    </row>
  </sheetData>
  <mergeCells count="2">
    <mergeCell ref="A1:O1"/>
    <mergeCell ref="A8:O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  <col width="2" customWidth="1" min="5" max="5"/>
    <col width="2" customWidth="1" min="6" max="6"/>
  </cols>
  <sheetData>
    <row r="1" ht="26" customHeight="1">
      <c r="A1" s="22" t="inlineStr">
        <is>
          <t>PARÁMETROS DEL MODELO (inputs y supuestos)</t>
        </is>
      </c>
    </row>
    <row r="3">
      <c r="A3" s="29" t="inlineStr">
        <is>
          <t>Escenario</t>
        </is>
      </c>
      <c r="B3" s="30" t="inlineStr">
        <is>
          <t>Base</t>
        </is>
      </c>
    </row>
    <row r="5">
      <c r="A5" s="23" t="inlineStr">
        <is>
          <t>Parámetro</t>
        </is>
      </c>
      <c r="B5" s="23" t="inlineStr">
        <is>
          <t>Valor (editable)</t>
        </is>
      </c>
      <c r="C5" s="23" t="inlineStr">
        <is>
          <t>Unidad / Nota</t>
        </is>
      </c>
      <c r="D5" s="23" t="inlineStr">
        <is>
          <t>Origen</t>
        </is>
      </c>
    </row>
    <row r="6">
      <c r="A6" s="19" t="inlineStr">
        <is>
          <t>Años de proyección (N)</t>
        </is>
      </c>
      <c r="B6" s="58">
        <f>VLOOKUP($B$3,Escenarios!$A$4:$O$6,2,FALSE)</f>
        <v/>
      </c>
      <c r="C6" s="19" t="inlineStr">
        <is>
          <t>años</t>
        </is>
      </c>
      <c r="D6" s="19" t="inlineStr">
        <is>
          <t>Escenarios</t>
        </is>
      </c>
    </row>
    <row r="7">
      <c r="A7" s="19" t="inlineStr">
        <is>
          <t>Inflación / escalado anual OPEX</t>
        </is>
      </c>
      <c r="B7" s="32">
        <f>VLOOKUP($B$3,Escenarios!$A$4:$O$6,3,FALSE)</f>
        <v/>
      </c>
      <c r="C7" s="19" t="inlineStr">
        <is>
          <t>% p.a.</t>
        </is>
      </c>
      <c r="D7" s="19" t="inlineStr">
        <is>
          <t>Escenarios</t>
        </is>
      </c>
    </row>
    <row r="8">
      <c r="A8" s="19" t="inlineStr">
        <is>
          <t>Tasa de descuento (para VAN)</t>
        </is>
      </c>
      <c r="B8" s="32">
        <f>VLOOKUP($B$3,Escenarios!$A$4:$O$6,4,FALSE)</f>
        <v/>
      </c>
      <c r="C8" s="19" t="inlineStr">
        <is>
          <t>%</t>
        </is>
      </c>
      <c r="D8" s="19" t="inlineStr">
        <is>
          <t>Escenarios</t>
        </is>
      </c>
    </row>
    <row r="9">
      <c r="A9" s="19" t="inlineStr">
        <is>
          <t>Usuarios (empleados)</t>
        </is>
      </c>
      <c r="B9" s="58">
        <f>VLOOKUP($B$3,Escenarios!$A$4:$O$6,5,FALSE)</f>
        <v/>
      </c>
      <c r="C9" s="19" t="inlineStr">
        <is>
          <t>personas</t>
        </is>
      </c>
      <c r="D9" s="19" t="inlineStr">
        <is>
          <t>Escenarios</t>
        </is>
      </c>
    </row>
    <row r="10">
      <c r="A10" s="19" t="inlineStr">
        <is>
          <t>Admins</t>
        </is>
      </c>
      <c r="B10" s="58">
        <f>VLOOKUP($B$3,Escenarios!$A$4:$O$6,6,FALSE)</f>
        <v/>
      </c>
      <c r="C10" s="19" t="inlineStr">
        <is>
          <t>personas</t>
        </is>
      </c>
      <c r="D10" s="19" t="inlineStr">
        <is>
          <t>Escenarios</t>
        </is>
      </c>
    </row>
    <row r="11">
      <c r="A11" s="19" t="inlineStr">
        <is>
          <t>Coste hora admin</t>
        </is>
      </c>
      <c r="B11" s="59">
        <f>VLOOKUP($B$3,Escenarios!$A$4:$O$6,7,FALSE)</f>
        <v/>
      </c>
      <c r="C11" s="19" t="inlineStr">
        <is>
          <t>€/hora</t>
        </is>
      </c>
      <c r="D11" s="19" t="inlineStr">
        <is>
          <t>Escenarios</t>
        </is>
      </c>
    </row>
    <row r="12">
      <c r="A12" s="19" t="inlineStr">
        <is>
          <t>Horas formación por admin (one-off)</t>
        </is>
      </c>
      <c r="B12" s="58">
        <f>VLOOKUP($B$3,Escenarios!$A$4:$O$6,8,FALSE)</f>
        <v/>
      </c>
      <c r="C12" s="19" t="inlineStr">
        <is>
          <t>horas</t>
        </is>
      </c>
      <c r="D12" s="19" t="inlineStr">
        <is>
          <t>Escenarios</t>
        </is>
      </c>
    </row>
    <row r="13">
      <c r="A13" s="19" t="inlineStr">
        <is>
          <t>Auditoría / mantenimiento anual</t>
        </is>
      </c>
      <c r="B13" s="59">
        <f>VLOOKUP($B$3,Escenarios!$A$4:$O$6,9,FALSE)</f>
        <v/>
      </c>
      <c r="C13" s="19" t="inlineStr">
        <is>
          <t>€/año</t>
        </is>
      </c>
      <c r="D13" s="19" t="inlineStr">
        <is>
          <t>Escenarios</t>
        </is>
      </c>
    </row>
    <row r="14">
      <c r="A14" s="19" t="inlineStr">
        <is>
          <t>Coste hora downtime</t>
        </is>
      </c>
      <c r="B14" s="59">
        <f>VLOOKUP($B$3,Escenarios!$A$4:$O$6,10,FALSE)</f>
        <v/>
      </c>
      <c r="C14" s="19" t="inlineStr">
        <is>
          <t>€/hora</t>
        </is>
      </c>
      <c r="D14" s="19" t="inlineStr">
        <is>
          <t>Escenarios</t>
        </is>
      </c>
    </row>
    <row r="15">
      <c r="A15" s="19" t="inlineStr">
        <is>
          <t>Horas por incidente</t>
        </is>
      </c>
      <c r="B15" s="58">
        <f>VLOOKUP($B$3,Escenarios!$A$4:$O$6,11,FALSE)</f>
        <v/>
      </c>
      <c r="C15" s="19" t="inlineStr">
        <is>
          <t>horas</t>
        </is>
      </c>
      <c r="D15" s="19" t="inlineStr">
        <is>
          <t>Escenarios</t>
        </is>
      </c>
    </row>
    <row r="16">
      <c r="A16" s="19" t="inlineStr">
        <is>
          <t>Incidentes por año</t>
        </is>
      </c>
      <c r="B16" s="58">
        <f>VLOOKUP($B$3,Escenarios!$A$4:$O$6,12,FALSE)</f>
        <v/>
      </c>
      <c r="C16" s="19" t="inlineStr">
        <is>
          <t>incidentes/año</t>
        </is>
      </c>
      <c r="D16" s="19" t="inlineStr">
        <is>
          <t>Escenarios</t>
        </is>
      </c>
    </row>
    <row r="17">
      <c r="A17" s="19" t="inlineStr">
        <is>
          <t>Horas autoaprendizaje por usuario/año</t>
        </is>
      </c>
      <c r="B17" s="58">
        <f>VLOOKUP($B$3,Escenarios!$A$4:$O$6,13,FALSE)</f>
        <v/>
      </c>
      <c r="C17" s="19" t="inlineStr">
        <is>
          <t>h/usuario/año</t>
        </is>
      </c>
      <c r="D17" s="19" t="inlineStr">
        <is>
          <t>Escenarios</t>
        </is>
      </c>
    </row>
    <row r="18">
      <c r="A18" s="19" t="inlineStr">
        <is>
          <t>Horas soporte entre compañeros por usuario/año</t>
        </is>
      </c>
      <c r="B18" s="58">
        <f>VLOOKUP($B$3,Escenarios!$A$4:$O$6,14,FALSE)</f>
        <v/>
      </c>
      <c r="C18" s="19" t="inlineStr">
        <is>
          <t>h/usuario/año</t>
        </is>
      </c>
      <c r="D18" s="19" t="inlineStr">
        <is>
          <t>Escenarios</t>
        </is>
      </c>
    </row>
    <row r="19">
      <c r="A19" s="19" t="inlineStr">
        <is>
          <t>Coste hora usuario</t>
        </is>
      </c>
      <c r="B19" s="59">
        <f>VLOOKUP($B$3,Escenarios!$A$4:$O$6,15,FALSE)</f>
        <v/>
      </c>
      <c r="C19" s="19" t="inlineStr">
        <is>
          <t>€/hora</t>
        </is>
      </c>
      <c r="D19" s="19" t="inlineStr">
        <is>
          <t>Escenarios</t>
        </is>
      </c>
    </row>
    <row r="22">
      <c r="A22" s="18" t="inlineStr">
        <is>
          <t>Valores vinculados (desde Inventario)</t>
        </is>
      </c>
    </row>
    <row r="23">
      <c r="A23" s="34" t="inlineStr">
        <is>
          <t>CAPEX total (inventario)</t>
        </is>
      </c>
      <c r="B23" s="60">
        <f>Inventario!F31</f>
        <v/>
      </c>
    </row>
    <row r="24">
      <c r="A24" s="34" t="inlineStr">
        <is>
          <t>OPEX anual total (inventario)</t>
        </is>
      </c>
      <c r="B24" s="60">
        <f>Inventario!G31</f>
        <v/>
      </c>
    </row>
    <row r="26">
      <c r="A26" s="18" t="inlineStr">
        <is>
          <t>Cálculos auxiliares (automáticos)</t>
        </is>
      </c>
    </row>
    <row r="27">
      <c r="A27" s="19" t="inlineStr">
        <is>
          <t>Formación total (one-off)</t>
        </is>
      </c>
      <c r="B27" s="57">
        <f>B10*B12*B11</f>
        <v/>
      </c>
      <c r="C27" s="10" t="n"/>
      <c r="D27" s="10" t="n"/>
    </row>
    <row r="28">
      <c r="A28" s="19" t="inlineStr">
        <is>
          <t>Downtime anual (€/año)</t>
        </is>
      </c>
      <c r="B28" s="57">
        <f>B14*B15*B16</f>
        <v/>
      </c>
      <c r="C28" s="10" t="n"/>
      <c r="D28" s="10" t="n"/>
    </row>
    <row r="29">
      <c r="A29" s="19" t="inlineStr">
        <is>
          <t>Autoaprendizaje anual (€/año)</t>
        </is>
      </c>
      <c r="B29" s="57">
        <f>B9*B17*B19</f>
        <v/>
      </c>
      <c r="C29" s="10" t="n"/>
      <c r="D29" s="10" t="n"/>
    </row>
    <row r="30">
      <c r="A30" s="19" t="inlineStr">
        <is>
          <t>Soporte entre compañeros anual (€/año)</t>
        </is>
      </c>
      <c r="B30" s="57">
        <f>B9*B18*B19</f>
        <v/>
      </c>
      <c r="C30" s="10" t="n"/>
      <c r="D30" s="10" t="n"/>
    </row>
    <row r="32">
      <c r="A32" s="28" t="inlineStr">
        <is>
          <t>Tip: puedes sobrescribir cualquier celda de la columna 'Valor' (B) si quieres ajustar manualmente un supuesto (reemplazará la fórmula del escenario).</t>
        </is>
      </c>
    </row>
  </sheetData>
  <mergeCells count="4">
    <mergeCell ref="A26:F26"/>
    <mergeCell ref="A22:F22"/>
    <mergeCell ref="A1:F1"/>
    <mergeCell ref="A32:F32"/>
  </mergeCells>
  <dataValidations count="1">
    <dataValidation sqref="B3" showDropDown="0" showInputMessage="0" showErrorMessage="0" allowBlank="0" type="list">
      <formula1>=Escenarios!$A$4:$A$6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26" customHeight="1">
      <c r="A1" s="22" t="inlineStr">
        <is>
          <t>CASHFLOW DE COSTES (nominal) Y VAN</t>
        </is>
      </c>
    </row>
    <row r="3">
      <c r="A3" s="23" t="inlineStr">
        <is>
          <t>Concepto</t>
        </is>
      </c>
      <c r="B3" s="23" t="inlineStr">
        <is>
          <t>Año 0</t>
        </is>
      </c>
      <c r="C3" s="23" t="inlineStr">
        <is>
          <t>Año 1</t>
        </is>
      </c>
      <c r="D3" s="23" t="inlineStr">
        <is>
          <t>Año 2</t>
        </is>
      </c>
      <c r="E3" s="23" t="inlineStr">
        <is>
          <t>Año 3</t>
        </is>
      </c>
      <c r="F3" s="23" t="inlineStr">
        <is>
          <t>Año 4</t>
        </is>
      </c>
      <c r="G3" s="23" t="inlineStr">
        <is>
          <t>Año 5</t>
        </is>
      </c>
      <c r="H3" s="23" t="inlineStr">
        <is>
          <t>Año 6</t>
        </is>
      </c>
      <c r="I3" s="23" t="inlineStr">
        <is>
          <t>Año 7</t>
        </is>
      </c>
      <c r="J3" s="23" t="inlineStr">
        <is>
          <t>Año 8</t>
        </is>
      </c>
      <c r="K3" s="23" t="inlineStr">
        <is>
          <t>Año 9</t>
        </is>
      </c>
      <c r="L3" s="23" t="inlineStr">
        <is>
          <t>Año 10</t>
        </is>
      </c>
      <c r="M3" s="23" t="inlineStr">
        <is>
          <t>Total nominal</t>
        </is>
      </c>
      <c r="N3" s="23" t="inlineStr">
        <is>
          <t>VAN</t>
        </is>
      </c>
    </row>
    <row r="4">
      <c r="A4" s="36" t="inlineStr">
        <is>
          <t>(helper)</t>
        </is>
      </c>
      <c r="B4" s="61" t="n">
        <v>0</v>
      </c>
      <c r="C4" s="61" t="n">
        <v>1</v>
      </c>
      <c r="D4" s="61" t="n">
        <v>2</v>
      </c>
      <c r="E4" s="61" t="n">
        <v>3</v>
      </c>
      <c r="F4" s="61" t="n">
        <v>4</v>
      </c>
      <c r="G4" s="61" t="n">
        <v>5</v>
      </c>
      <c r="H4" s="61" t="n">
        <v>6</v>
      </c>
      <c r="I4" s="61" t="n">
        <v>7</v>
      </c>
      <c r="J4" s="61" t="n">
        <v>8</v>
      </c>
      <c r="K4" s="61" t="n">
        <v>9</v>
      </c>
      <c r="L4" s="61" t="n">
        <v>10</v>
      </c>
    </row>
    <row r="6">
      <c r="A6" s="19" t="inlineStr">
        <is>
          <t>CAPEX (inversión inicial)</t>
        </is>
      </c>
      <c r="B6" s="57">
        <f>Parámetros!$B$23</f>
        <v/>
      </c>
      <c r="C6" s="57" t="n">
        <v>0</v>
      </c>
      <c r="D6" s="57" t="n">
        <v>0</v>
      </c>
      <c r="E6" s="57" t="n">
        <v>0</v>
      </c>
      <c r="F6" s="57" t="n">
        <v>0</v>
      </c>
      <c r="G6" s="57" t="n">
        <v>0</v>
      </c>
      <c r="H6" s="57" t="n">
        <v>0</v>
      </c>
      <c r="I6" s="57" t="n">
        <v>0</v>
      </c>
      <c r="J6" s="57" t="n">
        <v>0</v>
      </c>
      <c r="K6" s="57" t="n">
        <v>0</v>
      </c>
      <c r="L6" s="57" t="n">
        <v>0</v>
      </c>
      <c r="M6" s="57">
        <f>SUM(B6:L6)</f>
        <v/>
      </c>
      <c r="N6" s="57">
        <f>B6+NPV(Parámetros!$B$8,C6:L6)</f>
        <v/>
      </c>
    </row>
    <row r="7">
      <c r="A7" s="19" t="inlineStr">
        <is>
          <t>OPEX (inventario) anual</t>
        </is>
      </c>
      <c r="B7" s="57" t="n">
        <v>0</v>
      </c>
      <c r="C7" s="57">
        <f>IF(C$4&lt;=Parámetros!$B$6,Parámetros!$B$24*(1+Parámetros!$B$7)^(C$4-1),0)</f>
        <v/>
      </c>
      <c r="D7" s="57">
        <f>IF(D$4&lt;=Parámetros!$B$6,Parámetros!$B$24*(1+Parámetros!$B$7)^(D$4-1),0)</f>
        <v/>
      </c>
      <c r="E7" s="57">
        <f>IF(E$4&lt;=Parámetros!$B$6,Parámetros!$B$24*(1+Parámetros!$B$7)^(E$4-1),0)</f>
        <v/>
      </c>
      <c r="F7" s="57">
        <f>IF(F$4&lt;=Parámetros!$B$6,Parámetros!$B$24*(1+Parámetros!$B$7)^(F$4-1),0)</f>
        <v/>
      </c>
      <c r="G7" s="57">
        <f>IF(G$4&lt;=Parámetros!$B$6,Parámetros!$B$24*(1+Parámetros!$B$7)^(G$4-1),0)</f>
        <v/>
      </c>
      <c r="H7" s="57">
        <f>IF(H$4&lt;=Parámetros!$B$6,Parámetros!$B$24*(1+Parámetros!$B$7)^(H$4-1),0)</f>
        <v/>
      </c>
      <c r="I7" s="57">
        <f>IF(I$4&lt;=Parámetros!$B$6,Parámetros!$B$24*(1+Parámetros!$B$7)^(I$4-1),0)</f>
        <v/>
      </c>
      <c r="J7" s="57">
        <f>IF(J$4&lt;=Parámetros!$B$6,Parámetros!$B$24*(1+Parámetros!$B$7)^(J$4-1),0)</f>
        <v/>
      </c>
      <c r="K7" s="57">
        <f>IF(K$4&lt;=Parámetros!$B$6,Parámetros!$B$24*(1+Parámetros!$B$7)^(K$4-1),0)</f>
        <v/>
      </c>
      <c r="L7" s="57">
        <f>IF(L$4&lt;=Parámetros!$B$6,Parámetros!$B$24*(1+Parámetros!$B$7)^(L$4-1),0)</f>
        <v/>
      </c>
      <c r="M7" s="57">
        <f>SUM(B7:L7)</f>
        <v/>
      </c>
      <c r="N7" s="57">
        <f>B7+NPV(Parámetros!$B$8,C7:L7)</f>
        <v/>
      </c>
    </row>
    <row r="8">
      <c r="A8" s="19" t="inlineStr">
        <is>
          <t>Formación admins (one-off)</t>
        </is>
      </c>
      <c r="B8" s="57">
        <f>Parámetros!$B$27</f>
        <v/>
      </c>
      <c r="C8" s="57" t="n">
        <v>0</v>
      </c>
      <c r="D8" s="57" t="n">
        <v>0</v>
      </c>
      <c r="E8" s="57" t="n">
        <v>0</v>
      </c>
      <c r="F8" s="57" t="n">
        <v>0</v>
      </c>
      <c r="G8" s="57" t="n">
        <v>0</v>
      </c>
      <c r="H8" s="57" t="n">
        <v>0</v>
      </c>
      <c r="I8" s="57" t="n">
        <v>0</v>
      </c>
      <c r="J8" s="57" t="n">
        <v>0</v>
      </c>
      <c r="K8" s="57" t="n">
        <v>0</v>
      </c>
      <c r="L8" s="57" t="n">
        <v>0</v>
      </c>
      <c r="M8" s="57">
        <f>SUM(B8:L8)</f>
        <v/>
      </c>
      <c r="N8" s="57">
        <f>B8+NPV(Parámetros!$B$8,C8:L8)</f>
        <v/>
      </c>
    </row>
    <row r="9">
      <c r="A9" s="19" t="inlineStr">
        <is>
          <t>Auditorías / mantenimiento anual</t>
        </is>
      </c>
      <c r="B9" s="57" t="n">
        <v>0</v>
      </c>
      <c r="C9" s="57">
        <f>IF(C$4&lt;=Parámetros!$B$6,Parámetros!$B$13*(1+Parámetros!$B$7)^(C$4-1),0)</f>
        <v/>
      </c>
      <c r="D9" s="57">
        <f>IF(D$4&lt;=Parámetros!$B$6,Parámetros!$B$13*(1+Parámetros!$B$7)^(D$4-1),0)</f>
        <v/>
      </c>
      <c r="E9" s="57">
        <f>IF(E$4&lt;=Parámetros!$B$6,Parámetros!$B$13*(1+Parámetros!$B$7)^(E$4-1),0)</f>
        <v/>
      </c>
      <c r="F9" s="57">
        <f>IF(F$4&lt;=Parámetros!$B$6,Parámetros!$B$13*(1+Parámetros!$B$7)^(F$4-1),0)</f>
        <v/>
      </c>
      <c r="G9" s="57">
        <f>IF(G$4&lt;=Parámetros!$B$6,Parámetros!$B$13*(1+Parámetros!$B$7)^(G$4-1),0)</f>
        <v/>
      </c>
      <c r="H9" s="57">
        <f>IF(H$4&lt;=Parámetros!$B$6,Parámetros!$B$13*(1+Parámetros!$B$7)^(H$4-1),0)</f>
        <v/>
      </c>
      <c r="I9" s="57">
        <f>IF(I$4&lt;=Parámetros!$B$6,Parámetros!$B$13*(1+Parámetros!$B$7)^(I$4-1),0)</f>
        <v/>
      </c>
      <c r="J9" s="57">
        <f>IF(J$4&lt;=Parámetros!$B$6,Parámetros!$B$13*(1+Parámetros!$B$7)^(J$4-1),0)</f>
        <v/>
      </c>
      <c r="K9" s="57">
        <f>IF(K$4&lt;=Parámetros!$B$6,Parámetros!$B$13*(1+Parámetros!$B$7)^(K$4-1),0)</f>
        <v/>
      </c>
      <c r="L9" s="57">
        <f>IF(L$4&lt;=Parámetros!$B$6,Parámetros!$B$13*(1+Parámetros!$B$7)^(L$4-1),0)</f>
        <v/>
      </c>
      <c r="M9" s="57">
        <f>SUM(B9:L9)</f>
        <v/>
      </c>
      <c r="N9" s="57">
        <f>B9+NPV(Parámetros!$B$8,C9:L9)</f>
        <v/>
      </c>
    </row>
    <row r="10">
      <c r="A10" s="38" t="inlineStr">
        <is>
          <t>SUBTOTAL DIRECTOS</t>
        </is>
      </c>
      <c r="B10" s="51">
        <f>B6+B8</f>
        <v/>
      </c>
      <c r="C10" s="51">
        <f>C7+C9</f>
        <v/>
      </c>
      <c r="D10" s="51">
        <f>D7+D9</f>
        <v/>
      </c>
      <c r="E10" s="51">
        <f>E7+E9</f>
        <v/>
      </c>
      <c r="F10" s="51">
        <f>F7+F9</f>
        <v/>
      </c>
      <c r="G10" s="51">
        <f>G7+G9</f>
        <v/>
      </c>
      <c r="H10" s="51">
        <f>H7+H9</f>
        <v/>
      </c>
      <c r="I10" s="51">
        <f>I7+I9</f>
        <v/>
      </c>
      <c r="J10" s="51">
        <f>J7+J9</f>
        <v/>
      </c>
      <c r="K10" s="51">
        <f>K7+K9</f>
        <v/>
      </c>
      <c r="L10" s="51">
        <f>L7+L9</f>
        <v/>
      </c>
      <c r="M10" s="51">
        <f>SUM(B10:L10)</f>
        <v/>
      </c>
      <c r="N10" s="51">
        <f>B10+NPV(Parámetros!$B$8,C10:L10)</f>
        <v/>
      </c>
    </row>
    <row r="11">
      <c r="A11" s="19" t="inlineStr">
        <is>
          <t>Downtime (coste anual)</t>
        </is>
      </c>
      <c r="B11" s="57" t="n">
        <v>0</v>
      </c>
      <c r="C11" s="57">
        <f>IF(C$4&lt;=Parámetros!$B$6,Parámetros!$B$28*(1+Parámetros!$B$7)^(C$4-1),0)</f>
        <v/>
      </c>
      <c r="D11" s="57">
        <f>IF(D$4&lt;=Parámetros!$B$6,Parámetros!$B$28*(1+Parámetros!$B$7)^(D$4-1),0)</f>
        <v/>
      </c>
      <c r="E11" s="57">
        <f>IF(E$4&lt;=Parámetros!$B$6,Parámetros!$B$28*(1+Parámetros!$B$7)^(E$4-1),0)</f>
        <v/>
      </c>
      <c r="F11" s="57">
        <f>IF(F$4&lt;=Parámetros!$B$6,Parámetros!$B$28*(1+Parámetros!$B$7)^(F$4-1),0)</f>
        <v/>
      </c>
      <c r="G11" s="57">
        <f>IF(G$4&lt;=Parámetros!$B$6,Parámetros!$B$28*(1+Parámetros!$B$7)^(G$4-1),0)</f>
        <v/>
      </c>
      <c r="H11" s="57">
        <f>IF(H$4&lt;=Parámetros!$B$6,Parámetros!$B$28*(1+Parámetros!$B$7)^(H$4-1),0)</f>
        <v/>
      </c>
      <c r="I11" s="57">
        <f>IF(I$4&lt;=Parámetros!$B$6,Parámetros!$B$28*(1+Parámetros!$B$7)^(I$4-1),0)</f>
        <v/>
      </c>
      <c r="J11" s="57">
        <f>IF(J$4&lt;=Parámetros!$B$6,Parámetros!$B$28*(1+Parámetros!$B$7)^(J$4-1),0)</f>
        <v/>
      </c>
      <c r="K11" s="57">
        <f>IF(K$4&lt;=Parámetros!$B$6,Parámetros!$B$28*(1+Parámetros!$B$7)^(K$4-1),0)</f>
        <v/>
      </c>
      <c r="L11" s="57">
        <f>IF(L$4&lt;=Parámetros!$B$6,Parámetros!$B$28*(1+Parámetros!$B$7)^(L$4-1),0)</f>
        <v/>
      </c>
      <c r="M11" s="57">
        <f>SUM(B11:L11)</f>
        <v/>
      </c>
      <c r="N11" s="57">
        <f>B11+NPV(Parámetros!$B$8,C11:L11)</f>
        <v/>
      </c>
    </row>
    <row r="12">
      <c r="A12" s="19" t="inlineStr">
        <is>
          <t>Autoaprendizaje usuarios (coste anual)</t>
        </is>
      </c>
      <c r="B12" s="57" t="n">
        <v>0</v>
      </c>
      <c r="C12" s="57">
        <f>IF(C$4&lt;=Parámetros!$B$6,Parámetros!$B$29*(1+Parámetros!$B$7)^(C$4-1),0)</f>
        <v/>
      </c>
      <c r="D12" s="57">
        <f>IF(D$4&lt;=Parámetros!$B$6,Parámetros!$B$29*(1+Parámetros!$B$7)^(D$4-1),0)</f>
        <v/>
      </c>
      <c r="E12" s="57">
        <f>IF(E$4&lt;=Parámetros!$B$6,Parámetros!$B$29*(1+Parámetros!$B$7)^(E$4-1),0)</f>
        <v/>
      </c>
      <c r="F12" s="57">
        <f>IF(F$4&lt;=Parámetros!$B$6,Parámetros!$B$29*(1+Parámetros!$B$7)^(F$4-1),0)</f>
        <v/>
      </c>
      <c r="G12" s="57">
        <f>IF(G$4&lt;=Parámetros!$B$6,Parámetros!$B$29*(1+Parámetros!$B$7)^(G$4-1),0)</f>
        <v/>
      </c>
      <c r="H12" s="57">
        <f>IF(H$4&lt;=Parámetros!$B$6,Parámetros!$B$29*(1+Parámetros!$B$7)^(H$4-1),0)</f>
        <v/>
      </c>
      <c r="I12" s="57">
        <f>IF(I$4&lt;=Parámetros!$B$6,Parámetros!$B$29*(1+Parámetros!$B$7)^(I$4-1),0)</f>
        <v/>
      </c>
      <c r="J12" s="57">
        <f>IF(J$4&lt;=Parámetros!$B$6,Parámetros!$B$29*(1+Parámetros!$B$7)^(J$4-1),0)</f>
        <v/>
      </c>
      <c r="K12" s="57">
        <f>IF(K$4&lt;=Parámetros!$B$6,Parámetros!$B$29*(1+Parámetros!$B$7)^(K$4-1),0)</f>
        <v/>
      </c>
      <c r="L12" s="57">
        <f>IF(L$4&lt;=Parámetros!$B$6,Parámetros!$B$29*(1+Parámetros!$B$7)^(L$4-1),0)</f>
        <v/>
      </c>
      <c r="M12" s="57">
        <f>SUM(B12:L12)</f>
        <v/>
      </c>
      <c r="N12" s="57">
        <f>B12+NPV(Parámetros!$B$8,C12:L12)</f>
        <v/>
      </c>
    </row>
    <row r="13">
      <c r="A13" s="19" t="inlineStr">
        <is>
          <t>Soporte entre compañeros (coste anual)</t>
        </is>
      </c>
      <c r="B13" s="57" t="n">
        <v>0</v>
      </c>
      <c r="C13" s="57">
        <f>IF(C$4&lt;=Parámetros!$B$6,Parámetros!$B$30*(1+Parámetros!$B$7)^(C$4-1),0)</f>
        <v/>
      </c>
      <c r="D13" s="57">
        <f>IF(D$4&lt;=Parámetros!$B$6,Parámetros!$B$30*(1+Parámetros!$B$7)^(D$4-1),0)</f>
        <v/>
      </c>
      <c r="E13" s="57">
        <f>IF(E$4&lt;=Parámetros!$B$6,Parámetros!$B$30*(1+Parámetros!$B$7)^(E$4-1),0)</f>
        <v/>
      </c>
      <c r="F13" s="57">
        <f>IF(F$4&lt;=Parámetros!$B$6,Parámetros!$B$30*(1+Parámetros!$B$7)^(F$4-1),0)</f>
        <v/>
      </c>
      <c r="G13" s="57">
        <f>IF(G$4&lt;=Parámetros!$B$6,Parámetros!$B$30*(1+Parámetros!$B$7)^(G$4-1),0)</f>
        <v/>
      </c>
      <c r="H13" s="57">
        <f>IF(H$4&lt;=Parámetros!$B$6,Parámetros!$B$30*(1+Parámetros!$B$7)^(H$4-1),0)</f>
        <v/>
      </c>
      <c r="I13" s="57">
        <f>IF(I$4&lt;=Parámetros!$B$6,Parámetros!$B$30*(1+Parámetros!$B$7)^(I$4-1),0)</f>
        <v/>
      </c>
      <c r="J13" s="57">
        <f>IF(J$4&lt;=Parámetros!$B$6,Parámetros!$B$30*(1+Parámetros!$B$7)^(J$4-1),0)</f>
        <v/>
      </c>
      <c r="K13" s="57">
        <f>IF(K$4&lt;=Parámetros!$B$6,Parámetros!$B$30*(1+Parámetros!$B$7)^(K$4-1),0)</f>
        <v/>
      </c>
      <c r="L13" s="57">
        <f>IF(L$4&lt;=Parámetros!$B$6,Parámetros!$B$30*(1+Parámetros!$B$7)^(L$4-1),0)</f>
        <v/>
      </c>
      <c r="M13" s="57">
        <f>SUM(B13:L13)</f>
        <v/>
      </c>
      <c r="N13" s="57">
        <f>B13+NPV(Parámetros!$B$8,C13:L13)</f>
        <v/>
      </c>
    </row>
    <row r="14">
      <c r="A14" s="38" t="inlineStr">
        <is>
          <t>SUBTOTAL INDIRECTOS</t>
        </is>
      </c>
      <c r="B14" s="51" t="n">
        <v>0</v>
      </c>
      <c r="C14" s="51">
        <f>C11+C12+C13</f>
        <v/>
      </c>
      <c r="D14" s="51">
        <f>D11+D12+D13</f>
        <v/>
      </c>
      <c r="E14" s="51">
        <f>E11+E12+E13</f>
        <v/>
      </c>
      <c r="F14" s="51">
        <f>F11+F12+F13</f>
        <v/>
      </c>
      <c r="G14" s="51">
        <f>G11+G12+G13</f>
        <v/>
      </c>
      <c r="H14" s="51">
        <f>H11+H12+H13</f>
        <v/>
      </c>
      <c r="I14" s="51">
        <f>I11+I12+I13</f>
        <v/>
      </c>
      <c r="J14" s="51">
        <f>J11+J12+J13</f>
        <v/>
      </c>
      <c r="K14" s="51">
        <f>K11+K12+K13</f>
        <v/>
      </c>
      <c r="L14" s="51">
        <f>L11+L12+L13</f>
        <v/>
      </c>
      <c r="M14" s="51">
        <f>SUM(B14:L14)</f>
        <v/>
      </c>
      <c r="N14" s="51">
        <f>B14+NPV(Parámetros!$B$8,C14:L14)</f>
        <v/>
      </c>
    </row>
    <row r="15">
      <c r="A15" s="38" t="inlineStr">
        <is>
          <t>TCO TOTAL</t>
        </is>
      </c>
      <c r="B15" s="51">
        <f>B10+B14</f>
        <v/>
      </c>
      <c r="C15" s="51">
        <f>C10+C14</f>
        <v/>
      </c>
      <c r="D15" s="51">
        <f>D10+D14</f>
        <v/>
      </c>
      <c r="E15" s="51">
        <f>E10+E14</f>
        <v/>
      </c>
      <c r="F15" s="51">
        <f>F10+F14</f>
        <v/>
      </c>
      <c r="G15" s="51">
        <f>G10+G14</f>
        <v/>
      </c>
      <c r="H15" s="51">
        <f>H10+H14</f>
        <v/>
      </c>
      <c r="I15" s="51">
        <f>I10+I14</f>
        <v/>
      </c>
      <c r="J15" s="51">
        <f>J10+J14</f>
        <v/>
      </c>
      <c r="K15" s="51">
        <f>K10+K14</f>
        <v/>
      </c>
      <c r="L15" s="51">
        <f>L10+L14</f>
        <v/>
      </c>
      <c r="M15" s="51">
        <f>SUM(B15:L15)</f>
        <v/>
      </c>
      <c r="N15" s="51">
        <f>B15+NPV(Parámetros!$B$8,C15:L15)</f>
        <v/>
      </c>
    </row>
    <row r="17">
      <c r="A17" s="28" t="inlineStr">
        <is>
          <t>Nota: Los años &gt; N se calculan como 0 automáticamente. El VAN usa la tasa de descuento definida en Parámetros.</t>
        </is>
      </c>
    </row>
  </sheetData>
  <mergeCells count="2">
    <mergeCell ref="A17:N17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" customWidth="1" min="3" max="3"/>
    <col width="22" customWidth="1" min="4" max="4"/>
    <col width="18" customWidth="1" min="5" max="5"/>
    <col width="2" customWidth="1" min="6" max="6"/>
    <col width="2" customWidth="1" min="7" max="7"/>
    <col width="2" customWidth="1" min="8" max="8"/>
  </cols>
  <sheetData>
    <row r="1" ht="26" customHeight="1">
      <c r="A1" s="22" t="inlineStr">
        <is>
          <t>DASHBOARD TCO</t>
        </is>
      </c>
    </row>
    <row r="3">
      <c r="A3" s="39" t="inlineStr">
        <is>
          <t>TCO nominal</t>
        </is>
      </c>
      <c r="B3" s="60">
        <f>Cashflow!M15</f>
        <v/>
      </c>
      <c r="D3" t="inlineStr">
        <is>
          <t>Directos (nominal)</t>
        </is>
      </c>
      <c r="E3" s="62">
        <f>Cashflow!M10</f>
        <v/>
      </c>
    </row>
    <row r="4">
      <c r="A4" s="39" t="inlineStr">
        <is>
          <t>TCO (VAN)</t>
        </is>
      </c>
      <c r="B4" s="60">
        <f>Cashflow!N15</f>
        <v/>
      </c>
      <c r="D4" t="inlineStr">
        <is>
          <t>Indirectos (nominal)</t>
        </is>
      </c>
      <c r="E4" s="62">
        <f>Cashflow!M14</f>
        <v/>
      </c>
    </row>
    <row r="5">
      <c r="A5" s="39" t="inlineStr">
        <is>
          <t>Coste medio anual</t>
        </is>
      </c>
      <c r="B5" s="60">
        <f>IF(Parámetros!B6&gt;0,B3/Parámetros!B6,0)</f>
        <v/>
      </c>
    </row>
    <row r="6">
      <c r="A6" s="39" t="inlineStr">
        <is>
          <t>% Directos</t>
        </is>
      </c>
      <c r="B6" s="41">
        <f>IF(B3&gt;0,Cashflow!M10/B3,0)</f>
        <v/>
      </c>
    </row>
    <row r="7">
      <c r="A7" s="39" t="inlineStr">
        <is>
          <t>% Indirectos</t>
        </is>
      </c>
      <c r="B7" s="41">
        <f>IF(B3&gt;0,Cashflow!M14/B3,0)</f>
        <v/>
      </c>
    </row>
    <row r="20">
      <c r="A20" s="23" t="inlineStr">
        <is>
          <t>Año</t>
        </is>
      </c>
      <c r="B20" s="23" t="inlineStr">
        <is>
          <t>Coste total</t>
        </is>
      </c>
    </row>
    <row r="21">
      <c r="A21" s="42" t="n">
        <v>0</v>
      </c>
      <c r="B21" s="57">
        <f>IF(Parámetros!$B$6&gt;=0,Cashflow!B$15,NA())</f>
        <v/>
      </c>
    </row>
    <row r="22">
      <c r="A22" s="42" t="n">
        <v>1</v>
      </c>
      <c r="B22" s="57">
        <f>IF(Parámetros!$B$6&gt;=1,Cashflow!C$15,NA())</f>
        <v/>
      </c>
    </row>
    <row r="23">
      <c r="A23" s="42" t="n">
        <v>2</v>
      </c>
      <c r="B23" s="57">
        <f>IF(Parámetros!$B$6&gt;=2,Cashflow!D$15,NA())</f>
        <v/>
      </c>
    </row>
    <row r="24">
      <c r="A24" s="42" t="n">
        <v>3</v>
      </c>
      <c r="B24" s="57">
        <f>IF(Parámetros!$B$6&gt;=3,Cashflow!E$15,NA())</f>
        <v/>
      </c>
    </row>
    <row r="25">
      <c r="A25" s="42" t="n">
        <v>4</v>
      </c>
      <c r="B25" s="57">
        <f>IF(Parámetros!$B$6&gt;=4,Cashflow!F$15,NA())</f>
        <v/>
      </c>
    </row>
    <row r="26">
      <c r="A26" s="42" t="n">
        <v>5</v>
      </c>
      <c r="B26" s="57">
        <f>IF(Parámetros!$B$6&gt;=5,Cashflow!G$15,NA())</f>
        <v/>
      </c>
    </row>
    <row r="27">
      <c r="A27" s="42" t="n">
        <v>6</v>
      </c>
      <c r="B27" s="57">
        <f>IF(Parámetros!$B$6&gt;=6,Cashflow!H$15,NA())</f>
        <v/>
      </c>
    </row>
    <row r="28">
      <c r="A28" s="42" t="n">
        <v>7</v>
      </c>
      <c r="B28" s="57">
        <f>IF(Parámetros!$B$6&gt;=7,Cashflow!I$15,NA())</f>
        <v/>
      </c>
    </row>
    <row r="29">
      <c r="A29" s="42" t="n">
        <v>8</v>
      </c>
      <c r="B29" s="57">
        <f>IF(Parámetros!$B$6&gt;=8,Cashflow!J$15,NA())</f>
        <v/>
      </c>
    </row>
    <row r="30">
      <c r="A30" s="42" t="n">
        <v>9</v>
      </c>
      <c r="B30" s="57">
        <f>IF(Parámetros!$B$6&gt;=9,Cashflow!K$15,NA())</f>
        <v/>
      </c>
    </row>
    <row r="31">
      <c r="A31" s="42" t="n">
        <v>10</v>
      </c>
      <c r="B31" s="57">
        <f>IF(Parámetros!$B$6&gt;=10,Cashflow!L$15,NA())</f>
        <v/>
      </c>
    </row>
    <row r="33">
      <c r="A33" s="28" t="inlineStr">
        <is>
          <t>Tip: ajusta el escenario en Parámetros!B3 o edita los supuestos directamente para ver el impacto inmediato en el TCO.</t>
        </is>
      </c>
    </row>
  </sheetData>
  <mergeCells count="2">
    <mergeCell ref="A33:E3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6" customHeight="1">
      <c r="A1" s="22" t="inlineStr">
        <is>
          <t>ROI (opcional) — comparar TCO vs ahorros/beneficios</t>
        </is>
      </c>
    </row>
    <row r="3">
      <c r="A3" s="39" t="inlineStr">
        <is>
          <t>TCO (VAN) del proyecto</t>
        </is>
      </c>
      <c r="B3" s="60">
        <f>Dashboard!B4</f>
        <v/>
      </c>
    </row>
    <row r="4">
      <c r="A4" s="39" t="n"/>
    </row>
    <row r="5">
      <c r="A5" s="39" t="inlineStr">
        <is>
          <t>Ahorro / beneficio anual estimado</t>
        </is>
      </c>
      <c r="B5" s="63" t="n">
        <v>0</v>
      </c>
    </row>
    <row r="6">
      <c r="A6" s="39" t="inlineStr">
        <is>
          <t>Años de análisis</t>
        </is>
      </c>
      <c r="B6" s="64">
        <f>Parámetros!B6</f>
        <v/>
      </c>
    </row>
    <row r="7">
      <c r="A7" s="39" t="inlineStr">
        <is>
          <t>Tasa de descuento (para VAN)</t>
        </is>
      </c>
      <c r="B7" s="45">
        <f>Parámetros!B8</f>
        <v/>
      </c>
    </row>
    <row r="8">
      <c r="A8" s="39" t="n"/>
    </row>
    <row r="9">
      <c r="A9" s="39" t="inlineStr">
        <is>
          <t>Beneficio total (nominal)</t>
        </is>
      </c>
      <c r="B9" s="65">
        <f>B5*B6</f>
        <v/>
      </c>
    </row>
    <row r="10">
      <c r="A10" s="39" t="inlineStr">
        <is>
          <t>ROI (nominal)</t>
        </is>
      </c>
      <c r="B10" s="47">
        <f>IF(B3&gt;0,(B9-B3)/B3,0)</f>
        <v/>
      </c>
    </row>
    <row r="11">
      <c r="A11" s="39" t="inlineStr">
        <is>
          <t>Payback (años)</t>
        </is>
      </c>
      <c r="B11" s="48">
        <f>IF(B5&gt;0,B3/B5,"")</f>
        <v/>
      </c>
    </row>
    <row r="12">
      <c r="A12" s="39" t="n"/>
    </row>
    <row r="13">
      <c r="A13" s="39" t="inlineStr">
        <is>
          <t>VAN de ahorros - TCO (VAN)</t>
        </is>
      </c>
      <c r="B13" s="60">
        <f>NPV($B$7,B16:B25)-$B$3</f>
        <v/>
      </c>
    </row>
    <row r="15">
      <c r="A15" s="23" t="inlineStr">
        <is>
          <t>Año</t>
        </is>
      </c>
      <c r="B15" s="23" t="inlineStr">
        <is>
          <t>Ahorro</t>
        </is>
      </c>
    </row>
    <row r="16">
      <c r="A16" s="42" t="n">
        <v>1</v>
      </c>
      <c r="B16" s="57">
        <f>IF($B$6&gt;=1,$B$5,0)</f>
        <v/>
      </c>
    </row>
    <row r="17">
      <c r="A17" s="42" t="n">
        <v>2</v>
      </c>
      <c r="B17" s="57">
        <f>IF($B$6&gt;=2,$B$5,0)</f>
        <v/>
      </c>
    </row>
    <row r="18">
      <c r="A18" s="42" t="n">
        <v>3</v>
      </c>
      <c r="B18" s="57">
        <f>IF($B$6&gt;=3,$B$5,0)</f>
        <v/>
      </c>
    </row>
    <row r="19">
      <c r="A19" s="42" t="n">
        <v>4</v>
      </c>
      <c r="B19" s="57">
        <f>IF($B$6&gt;=4,$B$5,0)</f>
        <v/>
      </c>
    </row>
    <row r="20">
      <c r="A20" s="42" t="n">
        <v>5</v>
      </c>
      <c r="B20" s="57">
        <f>IF($B$6&gt;=5,$B$5,0)</f>
        <v/>
      </c>
    </row>
    <row r="21">
      <c r="A21" s="42" t="n">
        <v>6</v>
      </c>
      <c r="B21" s="57">
        <f>IF($B$6&gt;=6,$B$5,0)</f>
        <v/>
      </c>
    </row>
    <row r="22">
      <c r="A22" s="42" t="n">
        <v>7</v>
      </c>
      <c r="B22" s="57">
        <f>IF($B$6&gt;=7,$B$5,0)</f>
        <v/>
      </c>
    </row>
    <row r="23">
      <c r="A23" s="42" t="n">
        <v>8</v>
      </c>
      <c r="B23" s="57">
        <f>IF($B$6&gt;=8,$B$5,0)</f>
        <v/>
      </c>
    </row>
    <row r="24">
      <c r="A24" s="42" t="n">
        <v>9</v>
      </c>
      <c r="B24" s="57">
        <f>IF($B$6&gt;=9,$B$5,0)</f>
        <v/>
      </c>
    </row>
    <row r="25">
      <c r="A25" s="42" t="n">
        <v>10</v>
      </c>
      <c r="B25" s="57">
        <f>IF($B$6&gt;=10,$B$5,0)</f>
        <v/>
      </c>
    </row>
    <row r="27">
      <c r="A27" s="28" t="inlineStr">
        <is>
          <t>Introduce un ahorro anual (B5) para obtener ROI, payback y VAN de la inversión.</t>
        </is>
      </c>
    </row>
  </sheetData>
  <mergeCells count="2"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2026-02-19T18:37:58Z</dcterms:created>
  <dcterms:modified xmlns:dcterms="http://purl.org/dc/terms/" xmlns:xsi="http://www.w3.org/2001/XMLSchema-instance" xsi:type="dcterms:W3CDTF">2026-02-19T19:10:36Z</dcterms:modified>
</cp:coreProperties>
</file>